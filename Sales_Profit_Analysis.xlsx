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8350" windowHeight="6800" firstSheet="1" activeTab="6"/>
  </bookViews>
  <sheets>
    <sheet name="Raw Data" sheetId="1" r:id="rId1"/>
    <sheet name="Cleaned Data" sheetId="2" r:id="rId2"/>
    <sheet name="Product Costs" sheetId="3" r:id="rId3"/>
    <sheet name="Analysis" sheetId="4" r:id="rId4"/>
    <sheet name="Dashboard" sheetId="5" r:id="rId5"/>
    <sheet name="Recommandation" sheetId="6" r:id="rId6"/>
    <sheet name="Project Limitation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<sst xmlns="http://schemas.openxmlformats.org/spreadsheetml/2006/main" count="242" uniqueCount="87">
  <si>
    <t>Order ID</t>
  </si>
  <si>
    <t>Date</t>
  </si>
  <si>
    <t>Customer</t>
  </si>
  <si>
    <t>Region</t>
  </si>
  <si>
    <t>Product</t>
  </si>
  <si>
    <t>Category</t>
  </si>
  <si>
    <t>Quantity</t>
  </si>
  <si>
    <t>Unit Price</t>
  </si>
  <si>
    <t>Payment</t>
  </si>
  <si>
    <t>TOtal Sales</t>
  </si>
  <si>
    <t>ORD001</t>
  </si>
  <si>
    <t>Ahmed</t>
  </si>
  <si>
    <t>Dubai</t>
  </si>
  <si>
    <t>Laptop</t>
  </si>
  <si>
    <t>Electronics</t>
  </si>
  <si>
    <t>Card</t>
  </si>
  <si>
    <t>ORD002</t>
  </si>
  <si>
    <t>Sara</t>
  </si>
  <si>
    <t>Sharjah</t>
  </si>
  <si>
    <t>Mouse</t>
  </si>
  <si>
    <t>Cash</t>
  </si>
  <si>
    <t>ORD003</t>
  </si>
  <si>
    <t>Omar</t>
  </si>
  <si>
    <t>Chair</t>
  </si>
  <si>
    <t>Furniture</t>
  </si>
  <si>
    <t>ORD004</t>
  </si>
  <si>
    <t>Fatima</t>
  </si>
  <si>
    <t>Abu Dhabi</t>
  </si>
  <si>
    <t>Printer</t>
  </si>
  <si>
    <t>Bank Transfer</t>
  </si>
  <si>
    <t>ORD005</t>
  </si>
  <si>
    <t>Noor</t>
  </si>
  <si>
    <t>ORD006</t>
  </si>
  <si>
    <t>Hassan</t>
  </si>
  <si>
    <t>Desk</t>
  </si>
  <si>
    <t>ORD007</t>
  </si>
  <si>
    <t>Mariam</t>
  </si>
  <si>
    <t>Monitor</t>
  </si>
  <si>
    <t>ORD008</t>
  </si>
  <si>
    <t>Ali</t>
  </si>
  <si>
    <t>ORD009</t>
  </si>
  <si>
    <t>ORD010</t>
  </si>
  <si>
    <t>Unit Cost</t>
  </si>
  <si>
    <t>Total Product Cost</t>
  </si>
  <si>
    <t>Profit</t>
  </si>
  <si>
    <t>Profit Margin</t>
  </si>
  <si>
    <t>KPI</t>
  </si>
  <si>
    <t>Value</t>
  </si>
  <si>
    <t>Revenue</t>
  </si>
  <si>
    <t>Total Revenue</t>
  </si>
  <si>
    <t>Total Profit</t>
  </si>
  <si>
    <t>Overall Profit Margin</t>
  </si>
  <si>
    <t>Total Orders</t>
  </si>
  <si>
    <t>Average Order Value</t>
  </si>
  <si>
    <t>Rvenue by Region</t>
  </si>
  <si>
    <t>Profit by Region</t>
  </si>
  <si>
    <t>Revenue by Product</t>
  </si>
  <si>
    <t>Profit by Product</t>
  </si>
  <si>
    <t>Category Performance</t>
  </si>
  <si>
    <t xml:space="preserve"> SALES &amp; PROFIT PERFORMANCE DASHBOARD</t>
  </si>
  <si>
    <t>Orders</t>
  </si>
  <si>
    <t>Key Insights</t>
  </si>
  <si>
    <t>Dubai generated the highest regional revenue at AED 11,400.</t>
  </si>
  <si>
    <t>Laptop generated the highest product revenue at AED 17,500.</t>
  </si>
  <si>
    <t>Electronics generated AED 23,150 in revenue.</t>
  </si>
  <si>
    <t>Profitability</t>
  </si>
  <si>
    <t>Total profit was AED 7,775.</t>
  </si>
  <si>
    <t>Overall profit margin was 27.09%.</t>
  </si>
  <si>
    <t>Laptop generated the highest total profit at AED 3,500.</t>
  </si>
  <si>
    <t>Furniture had a higher category profit margin than Electronics.</t>
  </si>
  <si>
    <t>`</t>
  </si>
  <si>
    <t>Recommendation 1 — Laptop profitability</t>
  </si>
  <si>
    <t>Investigate laptop supplier and purchasing costs to determine whether a lower unit cost can improve the laptop profit margin while maintaining sales volume.</t>
  </si>
  <si>
    <t>Recommendation 2 — Furniture profitability</t>
  </si>
  <si>
    <t>Investigate which factors contribute to Furniture's higher profit margin and assess whether similar pricing or cost strategies could be applied to other products.</t>
  </si>
  <si>
    <t>Recommendation 3 — Regional performance</t>
  </si>
  <si>
    <t>Analyze the factors behind Dubai's stronger sales performance and investigate whether successful approaches can be tested in other regions.</t>
  </si>
  <si>
    <t>Project Limitations</t>
  </si>
  <si>
    <t>1. The dataset is a sample dataset and does not represent a real company's financial performance.</t>
  </si>
  <si>
    <t>2. The dataset does not contain operating expenses, so the analysis cannot calculate true net profit.</t>
  </si>
  <si>
    <t>3. Cash flow data is not available, so cash-flow analysis was not performed.</t>
  </si>
  <si>
    <t>4. Customer retention and churn data are not available, so NRR/churn analysis was not performed.</t>
  </si>
  <si>
    <t>5. Marketing expenditure and customer acquisition data are not available, so CAC cannot be calculated.</t>
  </si>
  <si>
    <t>6. Some product-cost information may be incomplete, which can affect profit calculations.</t>
  </si>
  <si>
    <t>7. The dataset covers a limited period, so it cannot establish long-term sales or growth trends.</t>
  </si>
  <si>
    <t>Project Summary</t>
  </si>
  <si>
    <t>This project demonstrates an end-to-end sales and profitability analysis using Excel. The dataset was structured and analyzed to evaluate revenue, product costs, profit, and profit margins across regions, categories, and products. An interactive dashboard was created to present key performance indicators and business insights to management. Based on the available data, recommendations were developed to identify areas that may require further investigation and potential improvement.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</si>
</sst>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AED-4C09]#,##0.00_);[Red]\([$AED-4C09]#,##0.00\)"/>
  </numFmts>
  <fonts count="25">
    <font>
      <sz val="11"/>
      <color theme="1"/>
      <name val="Calibri"/>
      <charset val="134"/>
      <scheme val="minor"/>
    </font>
    <font>
      <b/>
      <sz val="14"/>
      <color theme="1"/>
      <name val="Calibri"/>
      <charset val="134"/>
      <scheme val="minor"/>
    </font>
    <font>
      <b/>
      <sz val="11"/>
      <color theme="1"/>
      <name val="Calibri"/>
      <charset val="134"/>
      <scheme val="minor"/>
    </font>
    <font>
      <b/>
      <sz val="12"/>
      <color theme="1"/>
      <name val="Calibri"/>
      <charset val="134"/>
      <scheme val="minor"/>
    </font>
    <font>
      <b/>
      <sz val="16"/>
      <color theme="1"/>
      <name val="Calibri"/>
      <charset val="134"/>
      <scheme val="minor"/>
    </font>
    <font>
      <b/>
      <sz val="11"/>
      <color theme="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4"/>
        <bgColor theme="4"/>
      </patternFill>
    </fill>
    <fill>
      <patternFill patternType="solid">
        <fgColor theme="4" tint="0.799981688894314"/>
        <bgColor theme="4" tint="0.79998168889431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n">
        <color theme="4"/>
      </left>
      <right style="thin">
        <color theme="0"/>
      </right>
      <top style="thin">
        <color theme="4" tint="0.399975585192419"/>
      </top>
      <bottom style="thin">
        <color theme="4" tint="0.399975585192419"/>
      </bottom>
      <diagonal/>
    </border>
    <border>
      <left style="thin">
        <color theme="0"/>
      </left>
      <right style="thin">
        <color theme="0"/>
      </right>
      <top style="thin">
        <color theme="4" tint="0.399975585192419"/>
      </top>
      <bottom style="thin">
        <color theme="4" tint="0.399975585192419"/>
      </bottom>
      <diagonal/>
    </border>
    <border>
      <left style="thin">
        <color theme="0"/>
      </left>
      <right style="thin">
        <color theme="4"/>
      </right>
      <top style="thin">
        <color theme="4" tint="0.399975585192419"/>
      </top>
      <bottom style="thin">
        <color theme="4" tint="0.399975585192419"/>
      </bottom>
      <diagonal/>
    </border>
    <border>
      <left style="thin">
        <color theme="4"/>
      </left>
      <right style="thin">
        <color theme="0"/>
      </right>
      <top style="thin">
        <color theme="4" tint="0.399975585192419"/>
      </top>
      <bottom style="thin">
        <color theme="4"/>
      </bottom>
      <diagonal/>
    </border>
    <border>
      <left style="thin">
        <color theme="0"/>
      </left>
      <right style="thin">
        <color theme="0"/>
      </right>
      <top style="thin">
        <color theme="4" tint="0.399975585192419"/>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4" applyNumberFormat="0" applyFill="0" applyAlignment="0" applyProtection="0">
      <alignment vertical="center"/>
    </xf>
    <xf numFmtId="0" fontId="12" fillId="0" borderId="14" applyNumberFormat="0" applyFill="0" applyAlignment="0" applyProtection="0">
      <alignment vertical="center"/>
    </xf>
    <xf numFmtId="0" fontId="13" fillId="0" borderId="15" applyNumberFormat="0" applyFill="0" applyAlignment="0" applyProtection="0">
      <alignment vertical="center"/>
    </xf>
    <xf numFmtId="0" fontId="13" fillId="0" borderId="0" applyNumberFormat="0" applyFill="0" applyBorder="0" applyAlignment="0" applyProtection="0">
      <alignment vertical="center"/>
    </xf>
    <xf numFmtId="0" fontId="14" fillId="5" borderId="16" applyNumberFormat="0" applyAlignment="0" applyProtection="0">
      <alignment vertical="center"/>
    </xf>
    <xf numFmtId="0" fontId="15" fillId="6" borderId="17" applyNumberFormat="0" applyAlignment="0" applyProtection="0">
      <alignment vertical="center"/>
    </xf>
    <xf numFmtId="0" fontId="16" fillId="6" borderId="16" applyNumberFormat="0" applyAlignment="0" applyProtection="0">
      <alignment vertical="center"/>
    </xf>
    <xf numFmtId="0" fontId="17" fillId="7" borderId="18" applyNumberFormat="0" applyAlignment="0" applyProtection="0">
      <alignment vertical="center"/>
    </xf>
    <xf numFmtId="0" fontId="18" fillId="0" borderId="19" applyNumberFormat="0" applyFill="0" applyAlignment="0" applyProtection="0">
      <alignment vertical="center"/>
    </xf>
    <xf numFmtId="0" fontId="19" fillId="0" borderId="20"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0" fillId="0" borderId="0">
      <alignment vertical="center"/>
    </xf>
  </cellStyleXfs>
  <cellXfs count="41">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applyFont="1" applyAlignment="1">
      <alignment horizontal="justify" vertical="top"/>
    </xf>
    <xf numFmtId="0" fontId="2" fillId="0" borderId="0" xfId="0" applyFont="1" applyAlignment="1">
      <alignment vertical="top"/>
    </xf>
    <xf numFmtId="0" fontId="3" fillId="0" borderId="0" xfId="0" applyFont="1">
      <alignment vertical="center"/>
    </xf>
    <xf numFmtId="0" fontId="4" fillId="0" borderId="0" xfId="0" applyFont="1" applyAlignment="1">
      <alignment horizontal="center" vertical="center"/>
    </xf>
    <xf numFmtId="0" fontId="4" fillId="0" borderId="0" xfId="0" applyFont="1" applyAlignment="1">
      <alignmen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178" fontId="4" fillId="0" borderId="3" xfId="1" applyNumberFormat="1" applyFont="1" applyBorder="1" applyAlignment="1">
      <alignment horizontal="center" vertical="center"/>
    </xf>
    <xf numFmtId="178" fontId="4" fillId="0" borderId="4" xfId="1" applyNumberFormat="1" applyFont="1" applyBorder="1" applyAlignment="1">
      <alignment horizontal="center" vertical="center"/>
    </xf>
    <xf numFmtId="178" fontId="4" fillId="0" borderId="3" xfId="0" applyNumberFormat="1" applyFont="1" applyBorder="1" applyAlignment="1">
      <alignment horizontal="center" vertical="center"/>
    </xf>
    <xf numFmtId="178" fontId="4" fillId="0" borderId="4" xfId="0" applyNumberFormat="1" applyFont="1" applyBorder="1" applyAlignment="1">
      <alignment horizontal="center" vertical="center"/>
    </xf>
    <xf numFmtId="10" fontId="4" fillId="0" borderId="3" xfId="3" applyNumberFormat="1" applyFont="1" applyBorder="1" applyAlignment="1">
      <alignment horizontal="center" vertical="center"/>
    </xf>
    <xf numFmtId="10" fontId="4" fillId="0" borderId="4" xfId="3" applyNumberFormat="1"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0" fillId="0" borderId="0" xfId="0" applyAlignment="1">
      <alignment horizontal="left" vertical="center" indent="1"/>
    </xf>
    <xf numFmtId="0" fontId="2" fillId="0" borderId="0" xfId="0" applyFont="1" applyAlignment="1">
      <alignment horizontal="center" vertical="center" wrapText="1"/>
    </xf>
    <xf numFmtId="0" fontId="2" fillId="0" borderId="0" xfId="0" applyFont="1" applyAlignment="1">
      <alignment vertical="center" wrapText="1"/>
    </xf>
    <xf numFmtId="0" fontId="0" fillId="0" borderId="0" xfId="0" applyAlignment="1">
      <alignment vertical="center" wrapText="1"/>
    </xf>
    <xf numFmtId="0" fontId="0" fillId="0" borderId="0" xfId="0" applyAlignment="1">
      <alignment horizontal="right" vertical="center" wrapText="1"/>
    </xf>
    <xf numFmtId="10" fontId="0" fillId="0" borderId="0" xfId="3" applyNumberFormat="1" applyAlignment="1">
      <alignment horizontal="right" vertical="center" wrapText="1"/>
    </xf>
    <xf numFmtId="0" fontId="2" fillId="0" borderId="0" xfId="0" applyFont="1" applyAlignment="1">
      <alignment horizontal="left" vertical="center" wrapText="1"/>
    </xf>
    <xf numFmtId="0" fontId="0" fillId="0" borderId="0" xfId="0" applyAlignment="1">
      <alignment horizontal="left" vertical="center" wrapText="1"/>
    </xf>
    <xf numFmtId="10" fontId="0" fillId="0" borderId="0" xfId="3" applyNumberFormat="1" applyAlignment="1">
      <alignment horizontal="left" vertical="center" wrapText="1"/>
    </xf>
    <xf numFmtId="0" fontId="0" fillId="0" borderId="0" xfId="0" applyAlignment="1">
      <alignment horizontal="center" vertical="center"/>
    </xf>
    <xf numFmtId="0" fontId="0" fillId="0" borderId="0" xfId="0" applyAlignment="1">
      <alignment horizontal="left" vertical="center"/>
    </xf>
    <xf numFmtId="0" fontId="5" fillId="2" borderId="5" xfId="0" applyNumberFormat="1" applyFont="1" applyFill="1" applyBorder="1" applyAlignment="1" applyProtection="1">
      <alignment vertical="center"/>
    </xf>
    <xf numFmtId="0" fontId="5" fillId="2" borderId="6" xfId="0" applyNumberFormat="1" applyFont="1" applyFill="1" applyBorder="1" applyAlignment="1" applyProtection="1">
      <alignment vertical="center"/>
    </xf>
    <xf numFmtId="0" fontId="5" fillId="2" borderId="7" xfId="0" applyNumberFormat="1" applyFont="1" applyFill="1" applyBorder="1" applyAlignment="1" applyProtection="1">
      <alignment vertical="center"/>
    </xf>
    <xf numFmtId="0" fontId="0" fillId="3" borderId="8" xfId="0" applyNumberFormat="1" applyFont="1" applyFill="1" applyBorder="1" applyAlignment="1" applyProtection="1">
      <alignment vertical="center"/>
    </xf>
    <xf numFmtId="58" fontId="0" fillId="3" borderId="9" xfId="0" applyNumberFormat="1" applyFont="1" applyFill="1" applyBorder="1" applyAlignment="1" applyProtection="1">
      <alignment vertical="center"/>
    </xf>
    <xf numFmtId="0" fontId="0" fillId="3" borderId="9" xfId="0" applyNumberFormat="1" applyFont="1" applyFill="1" applyBorder="1" applyAlignment="1" applyProtection="1">
      <alignment vertical="center"/>
    </xf>
    <xf numFmtId="9" fontId="0" fillId="3" borderId="10" xfId="3" applyNumberFormat="1" applyFont="1" applyFill="1" applyBorder="1" applyAlignment="1" applyProtection="1">
      <alignment vertical="center"/>
    </xf>
    <xf numFmtId="0" fontId="0" fillId="3" borderId="11" xfId="0" applyNumberFormat="1" applyFont="1" applyFill="1" applyBorder="1" applyAlignment="1" applyProtection="1">
      <alignment vertical="center"/>
    </xf>
    <xf numFmtId="58" fontId="0" fillId="3" borderId="12" xfId="0" applyNumberFormat="1" applyFont="1" applyFill="1" applyBorder="1" applyAlignment="1" applyProtection="1">
      <alignment vertical="center"/>
    </xf>
    <xf numFmtId="0" fontId="0" fillId="3" borderId="12" xfId="0" applyNumberFormat="1" applyFont="1" applyFill="1" applyBorder="1" applyAlignment="1" applyProtection="1">
      <alignment vertical="center"/>
    </xf>
    <xf numFmtId="58" fontId="0" fillId="0" borderId="0" xfId="0" applyNumberFormat="1">
      <alignment vertical="center"/>
    </xf>
    <xf numFmtId="0" fontId="0" fillId="0" borderId="0" xfId="0" applyNumberFormat="1">
      <alignment vertical="center"/>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Style 1" xfId="49"/>
  </cellStyles>
  <dxfs count="33">
    <dxf>
      <numFmt numFmtId="58" formatCode="m/d/yyyy"/>
    </dxf>
    <dxf>
      <numFmt numFmtId="0" formatCode="General"/>
    </dxf>
    <dxf>
      <alignment wrapText="1"/>
    </dxf>
    <dxf>
      <alignment horizontal="right" wrapText="1"/>
    </dxf>
    <dxf>
      <alignment wrapText="1"/>
    </dxf>
    <dxf>
      <alignment horizontal="right" wrapText="1"/>
    </dxf>
    <dxf>
      <alignment horizontal="right" wrapText="1"/>
    </dxf>
    <dxf>
      <numFmt numFmtId="10" formatCode="0.00%"/>
      <alignment horizontal="right" wrapText="1"/>
    </dxf>
    <dxf>
      <alignment horizontal="left" wrapText="1"/>
    </dxf>
    <dxf>
      <alignment horizontal="left" wrapText="1"/>
    </dxf>
    <dxf>
      <alignment horizontal="left" wrapText="1"/>
    </dxf>
    <dxf>
      <numFmt numFmtId="10" formatCode="0.00%"/>
      <alignment horizontal="left" wrapText="1"/>
    </dxf>
    <dxf>
      <alignment horizontal="left" wrapText="1"/>
    </dxf>
    <dxf>
      <alignment horizontal="left" wrapText="1"/>
    </dxf>
    <dxf>
      <alignment horizontal="left" wrapText="1"/>
    </dxf>
    <dxf>
      <numFmt numFmtId="10" formatCode="0.00%"/>
      <alignment horizontal="left" wrapText="1"/>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2"/>
      <tableStyleElement type="headerRow" dxfId="21"/>
      <tableStyleElement type="totalRow" dxfId="20"/>
      <tableStyleElement type="firstColumn" dxfId="19"/>
      <tableStyleElement type="lastColumn" dxfId="18"/>
      <tableStyleElement type="firstRowStripe" dxfId="17"/>
      <tableStyleElement type="firstColumnStripe" dxfId="16"/>
    </tableStyle>
    <tableStyle name="PivotStylePreset2_Accent1" table="0" count="10" xr9:uid="{267968C8-6FFD-4C36-ACC1-9EA1FD1885CA}">
      <tableStyleElement type="headerRow" dxfId="32"/>
      <tableStyleElement type="totalRow" dxfId="31"/>
      <tableStyleElement type="firstRowStripe" dxfId="30"/>
      <tableStyleElement type="firstColumnStripe" dxfId="29"/>
      <tableStyleElement type="firstSubtotalRow" dxfId="28"/>
      <tableStyleElement type="secondSubtotalRow" dxfId="27"/>
      <tableStyleElement type="firstRowSubheading" dxfId="26"/>
      <tableStyleElement type="secondRowSubheading" dxfId="25"/>
      <tableStyleElement type="pageFieldLabels" dxfId="24"/>
      <tableStyleElement type="pageFieldValues" dxfId="23"/>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microsoft.com/office/2011/relationships/chartColorStyle" Target="colors5.xml"/><Relationship Id="rId2" Type="http://schemas.microsoft.com/office/2011/relationships/chartStyle" Target="style5.xml"/><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Profit by Region</a:t>
            </a:r>
          </a:p>
        </c:rich>
      </c:tx>
      <c:layout>
        <c:manualLayout>
          <c:xMode val="edge"/>
          <c:yMode val="edge"/>
          <c:x val="0.349384098544233"/>
          <c:y val="0.0393820054528931"/>
        </c:manualLayout>
      </c:layout>
      <c:overlay val="0"/>
      <c:spPr>
        <a:noFill/>
        <a:ln>
          <a:noFill/>
        </a:ln>
        <a:effectLst/>
      </c:sp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Analysis!$E$24:$E$26</c:f>
              <c:strCache>
                <c:ptCount val="3"/>
                <c:pt idx="0">
                  <c:v>Dubai</c:v>
                </c:pt>
                <c:pt idx="1">
                  <c:v>Sharjah</c:v>
                </c:pt>
                <c:pt idx="2">
                  <c:v>Abu Dhabi</c:v>
                </c:pt>
              </c:strCache>
            </c:strRef>
          </c:cat>
          <c:val>
            <c:numRef>
              <c:f>Analysis!$F$24:$F$26</c:f>
              <c:numCache>
                <c:formatCode>General</c:formatCode>
                <c:ptCount val="3"/>
              </c:numCache>
            </c:numRef>
          </c:val>
        </c:ser>
        <c:ser>
          <c:idx val="1"/>
          <c:order val="1"/>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Analysis!$E$24:$E$26</c:f>
              <c:strCache>
                <c:ptCount val="3"/>
                <c:pt idx="0">
                  <c:v>Dubai</c:v>
                </c:pt>
                <c:pt idx="1">
                  <c:v>Sharjah</c:v>
                </c:pt>
                <c:pt idx="2">
                  <c:v>Abu Dhabi</c:v>
                </c:pt>
              </c:strCache>
            </c:strRef>
          </c:cat>
          <c:val>
            <c:numRef>
              <c:f>Analysis!$G$24:$G$26</c:f>
              <c:numCache>
                <c:formatCode>General</c:formatCode>
                <c:ptCount val="3"/>
                <c:pt idx="0">
                  <c:v>4000</c:v>
                </c:pt>
                <c:pt idx="1">
                  <c:v>2475</c:v>
                </c:pt>
                <c:pt idx="2">
                  <c:v>1300</c:v>
                </c:pt>
              </c:numCache>
            </c:numRef>
          </c:val>
        </c:ser>
        <c:dLbls>
          <c:showLegendKey val="0"/>
          <c:showVal val="1"/>
          <c:showCatName val="0"/>
          <c:showSerName val="0"/>
          <c:showPercent val="0"/>
          <c:showBubbleSize val="0"/>
        </c:dLbls>
        <c:gapWidth val="246"/>
        <c:overlap val="-28"/>
        <c:axId val="285185732"/>
        <c:axId val="490622539"/>
      </c:barChart>
      <c:catAx>
        <c:axId val="28518573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90622539"/>
        <c:crosses val="autoZero"/>
        <c:auto val="1"/>
        <c:lblAlgn val="ctr"/>
        <c:lblOffset val="100"/>
        <c:noMultiLvlLbl val="0"/>
      </c:catAx>
      <c:valAx>
        <c:axId val="490622539"/>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85185732"/>
        <c:crosses val="autoZero"/>
        <c:crossBetween val="between"/>
      </c:valAx>
      <c:spPr>
        <a:noFill/>
        <a:ln>
          <a:noFill/>
        </a:ln>
        <a:effectLst/>
      </c:spPr>
    </c:plotArea>
    <c:plotVisOnly val="1"/>
    <c:dispBlanksAs val="gap"/>
    <c:showDLblsOverMax val="0"/>
    <c:extLst>
      <c:ext uri="{0b15fc19-7d7d-44ad-8c2d-2c3a37ce22c3}">
        <chartProps xmlns="https://web.wps.cn/et/2018/main" chartId="{741f58b3-b3e3-4e6e-8d19-2653de54fb2c}"/>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Revenue by Product</a:t>
            </a:r>
          </a:p>
        </c:rich>
      </c:tx>
      <c:layout/>
      <c:overlay val="0"/>
      <c:spPr>
        <a:noFill/>
        <a:ln>
          <a:noFill/>
        </a:ln>
        <a:effectLst/>
      </c:spPr>
    </c:title>
    <c:autoTitleDeleted val="0"/>
    <c:plotArea>
      <c:layout/>
      <c:barChart>
        <c:barDir val="col"/>
        <c:grouping val="clustered"/>
        <c:varyColors val="0"/>
        <c:ser>
          <c:idx val="0"/>
          <c:order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a:outerShdw blurRad="76200" dist="25400" dir="2700000" algn="tl" rotWithShape="0">
                <a:schemeClr val="accent1">
                  <a:lumMod val="50000"/>
                  <a:alpha val="30000"/>
                </a:schemeClr>
              </a:outerShdw>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Analysis!$A$31:$A$36</c:f>
              <c:strCache>
                <c:ptCount val="6"/>
                <c:pt idx="0">
                  <c:v>Laptop</c:v>
                </c:pt>
                <c:pt idx="1">
                  <c:v>Mouse</c:v>
                </c:pt>
                <c:pt idx="2">
                  <c:v>Chair</c:v>
                </c:pt>
                <c:pt idx="3">
                  <c:v>Printer</c:v>
                </c:pt>
                <c:pt idx="4">
                  <c:v>Desk</c:v>
                </c:pt>
                <c:pt idx="5">
                  <c:v>Monitor</c:v>
                </c:pt>
              </c:strCache>
            </c:strRef>
          </c:cat>
          <c:val>
            <c:numRef>
              <c:f>Analysis!$B$31:$B$36</c:f>
              <c:numCache>
                <c:formatCode>General</c:formatCode>
                <c:ptCount val="6"/>
                <c:pt idx="0">
                  <c:v>17500</c:v>
                </c:pt>
                <c:pt idx="1">
                  <c:v>400</c:v>
                </c:pt>
                <c:pt idx="2">
                  <c:v>3150</c:v>
                </c:pt>
                <c:pt idx="3">
                  <c:v>2550</c:v>
                </c:pt>
                <c:pt idx="4">
                  <c:v>2400</c:v>
                </c:pt>
                <c:pt idx="5">
                  <c:v>2700</c:v>
                </c:pt>
              </c:numCache>
            </c:numRef>
          </c:val>
        </c:ser>
        <c:dLbls>
          <c:showLegendKey val="0"/>
          <c:showVal val="1"/>
          <c:showCatName val="0"/>
          <c:showSerName val="0"/>
          <c:showPercent val="0"/>
          <c:showBubbleSize val="0"/>
        </c:dLbls>
        <c:gapWidth val="246"/>
        <c:overlap val="-28"/>
        <c:axId val="859904098"/>
        <c:axId val="394742558"/>
      </c:barChart>
      <c:catAx>
        <c:axId val="85990409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94742558"/>
        <c:crosses val="autoZero"/>
        <c:auto val="1"/>
        <c:lblAlgn val="ctr"/>
        <c:lblOffset val="100"/>
        <c:noMultiLvlLbl val="0"/>
      </c:catAx>
      <c:valAx>
        <c:axId val="394742558"/>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59904098"/>
        <c:crosses val="autoZero"/>
        <c:crossBetween val="between"/>
      </c:valAx>
      <c:spPr>
        <a:noFill/>
        <a:ln>
          <a:noFill/>
        </a:ln>
        <a:effectLst/>
      </c:spPr>
    </c:plotArea>
    <c:plotVisOnly val="1"/>
    <c:dispBlanksAs val="gap"/>
    <c:showDLblsOverMax val="0"/>
    <c:extLst>
      <c:ext uri="{0b15fc19-7d7d-44ad-8c2d-2c3a37ce22c3}">
        <chartProps xmlns="https://web.wps.cn/et/2018/main" chartId="{3644620f-0339-40f9-aa26-d332bbe2bb02}"/>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Profit by Product</a:t>
            </a:r>
          </a:p>
        </c:rich>
      </c:tx>
      <c:layout/>
      <c:overlay val="0"/>
      <c:spPr>
        <a:noFill/>
        <a:ln>
          <a:noFill/>
        </a:ln>
        <a:effectLst/>
      </c:spPr>
    </c:title>
    <c:autoTitleDeleted val="0"/>
    <c:plotArea>
      <c:layout/>
      <c:barChart>
        <c:barDir val="col"/>
        <c:grouping val="clustered"/>
        <c:varyColors val="0"/>
        <c:ser>
          <c:idx val="0"/>
          <c:order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a:outerShdw blurRad="76200" dist="25400" dir="2700000" algn="tl" rotWithShape="0">
                <a:schemeClr val="accent1">
                  <a:lumMod val="50000"/>
                  <a:alpha val="30000"/>
                </a:schemeClr>
              </a:outerShdw>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Analysis!$E$31:$E$36</c:f>
              <c:strCache>
                <c:ptCount val="6"/>
                <c:pt idx="0">
                  <c:v>Laptop</c:v>
                </c:pt>
                <c:pt idx="1">
                  <c:v>Mouse</c:v>
                </c:pt>
                <c:pt idx="2">
                  <c:v>Chair</c:v>
                </c:pt>
                <c:pt idx="3">
                  <c:v>Printer</c:v>
                </c:pt>
                <c:pt idx="4">
                  <c:v>Desk</c:v>
                </c:pt>
                <c:pt idx="5">
                  <c:v>Monitor</c:v>
                </c:pt>
              </c:strCache>
            </c:strRef>
          </c:cat>
          <c:val>
            <c:numRef>
              <c:f>Analysis!$F$31:$F$36</c:f>
              <c:numCache>
                <c:formatCode>General</c:formatCode>
                <c:ptCount val="6"/>
                <c:pt idx="0">
                  <c:v>3500</c:v>
                </c:pt>
                <c:pt idx="1">
                  <c:v>175</c:v>
                </c:pt>
                <c:pt idx="2">
                  <c:v>1400</c:v>
                </c:pt>
                <c:pt idx="3">
                  <c:v>750</c:v>
                </c:pt>
                <c:pt idx="4">
                  <c:v>900</c:v>
                </c:pt>
                <c:pt idx="5">
                  <c:v>1050</c:v>
                </c:pt>
              </c:numCache>
            </c:numRef>
          </c:val>
        </c:ser>
        <c:dLbls>
          <c:showLegendKey val="0"/>
          <c:showVal val="1"/>
          <c:showCatName val="0"/>
          <c:showSerName val="0"/>
          <c:showPercent val="0"/>
          <c:showBubbleSize val="0"/>
        </c:dLbls>
        <c:gapWidth val="246"/>
        <c:overlap val="-28"/>
        <c:axId val="379194291"/>
        <c:axId val="468059456"/>
      </c:barChart>
      <c:catAx>
        <c:axId val="37919429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68059456"/>
        <c:crosses val="autoZero"/>
        <c:auto val="1"/>
        <c:lblAlgn val="ctr"/>
        <c:lblOffset val="100"/>
        <c:noMultiLvlLbl val="0"/>
      </c:catAx>
      <c:valAx>
        <c:axId val="468059456"/>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79194291"/>
        <c:crosses val="autoZero"/>
        <c:crossBetween val="between"/>
      </c:valAx>
      <c:spPr>
        <a:noFill/>
        <a:ln>
          <a:noFill/>
        </a:ln>
        <a:effectLst/>
      </c:spPr>
    </c:plotArea>
    <c:plotVisOnly val="1"/>
    <c:dispBlanksAs val="gap"/>
    <c:showDLblsOverMax val="0"/>
    <c:extLst>
      <c:ext uri="{0b15fc19-7d7d-44ad-8c2d-2c3a37ce22c3}">
        <chartProps xmlns="https://web.wps.cn/et/2018/main" chartId="{7cd427c5-4c5c-4513-8604-69893f4aa98e}"/>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Revenue by Category</a:t>
            </a:r>
          </a:p>
        </c:rich>
      </c:tx>
      <c:layout/>
      <c:overlay val="0"/>
      <c:spPr>
        <a:noFill/>
        <a:ln>
          <a:noFill/>
        </a:ln>
        <a:effectLst/>
      </c:spPr>
    </c:title>
    <c:autoTitleDeleted val="0"/>
    <c:plotArea>
      <c:layout/>
      <c:barChart>
        <c:barDir val="col"/>
        <c:grouping val="clustered"/>
        <c:varyColors val="0"/>
        <c:ser>
          <c:idx val="0"/>
          <c:order val="0"/>
          <c:tx>
            <c:strRef>
              <c:f>Analysis!$I$31</c:f>
              <c:strCache>
                <c:ptCount val="1"/>
                <c:pt idx="0">
                  <c:v>Electronics</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Analysis!$J$31:$K$31</c:f>
              <c:numCache>
                <c:formatCode>General</c:formatCode>
                <c:ptCount val="2"/>
                <c:pt idx="1">
                  <c:v>23150</c:v>
                </c:pt>
              </c:numCache>
            </c:numRef>
          </c:val>
        </c:ser>
        <c:ser>
          <c:idx val="1"/>
          <c:order val="1"/>
          <c:tx>
            <c:strRef>
              <c:f>Analysis!$I$32</c:f>
              <c:strCache>
                <c:ptCount val="1"/>
                <c:pt idx="0">
                  <c:v>Furniture</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Analysis!$J$32:$K$32</c:f>
              <c:numCache>
                <c:formatCode>General</c:formatCode>
                <c:ptCount val="2"/>
                <c:pt idx="1">
                  <c:v>5550</c:v>
                </c:pt>
              </c:numCache>
            </c:numRef>
          </c:val>
        </c:ser>
        <c:dLbls>
          <c:showLegendKey val="0"/>
          <c:showVal val="1"/>
          <c:showCatName val="0"/>
          <c:showSerName val="0"/>
          <c:showPercent val="0"/>
          <c:showBubbleSize val="0"/>
        </c:dLbls>
        <c:gapWidth val="68"/>
        <c:overlap val="-100"/>
        <c:axId val="123395632"/>
        <c:axId val="271185571"/>
      </c:barChart>
      <c:catAx>
        <c:axId val="123395632"/>
        <c:scaling>
          <c:orientation val="minMax"/>
        </c:scaling>
        <c:delete val="1"/>
        <c:axPos val="b"/>
        <c:majorTickMark val="out"/>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71185571"/>
        <c:crosses val="autoZero"/>
        <c:auto val="1"/>
        <c:lblAlgn val="ctr"/>
        <c:lblOffset val="100"/>
        <c:noMultiLvlLbl val="0"/>
      </c:catAx>
      <c:valAx>
        <c:axId val="271185571"/>
        <c:scaling>
          <c:orientation val="minMax"/>
        </c:scaling>
        <c:delete val="1"/>
        <c:axPos val="l"/>
        <c:majorGridlines>
          <c:spPr>
            <a:ln w="9525" cap="flat" cmpd="sng" algn="ctr">
              <a:solidFill>
                <a:schemeClr val="lt1">
                  <a:lumMod val="90200"/>
                </a:schemeClr>
              </a:solidFill>
              <a:round/>
            </a:ln>
            <a:effectLst/>
          </c:spPr>
        </c:majorGridlines>
        <c:numFmt formatCode="General" sourceLinked="1"/>
        <c:majorTickMark val="out"/>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23395632"/>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f02ee9d-7919-4af4-ba63-1920ad30d0a2}"/>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rPr lang="en-US" altLang="zh-CN" sz="1200"/>
              <a:t>Profit Margin By Category</a:t>
            </a:r>
            <a:endParaRPr lang="en-US" altLang="zh-CN" sz="1200"/>
          </a:p>
        </c:rich>
      </c:tx>
      <c:layout/>
      <c:overlay val="0"/>
      <c:spPr>
        <a:noFill/>
        <a:ln>
          <a:noFill/>
        </a:ln>
        <a:effectLst/>
      </c:spPr>
    </c:title>
    <c:autoTitleDeleted val="0"/>
    <c:plotArea>
      <c:layout/>
      <c:barChart>
        <c:barDir val="col"/>
        <c:grouping val="clustered"/>
        <c:varyColors val="0"/>
        <c:ser>
          <c:idx val="0"/>
          <c:order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a:outerShdw blurRad="76200" dist="25400" dir="2700000" algn="tl" rotWithShape="0">
                <a:schemeClr val="accent1">
                  <a:lumMod val="50000"/>
                  <a:alpha val="30000"/>
                </a:schemeClr>
              </a:outerShdw>
            </a:effectLst>
          </c:spPr>
          <c:invertIfNegative val="0"/>
          <c:dPt>
            <c:idx val="1"/>
            <c:invertIfNegative val="0"/>
            <c:bubble3D val="0"/>
            <c:spPr>
              <a:solidFill>
                <a:srgbClr val="EE822F"/>
              </a:solidFill>
              <a:ln>
                <a:gradFill>
                  <a:gsLst>
                    <a:gs pos="0">
                      <a:schemeClr val="accent1"/>
                    </a:gs>
                    <a:gs pos="100000">
                      <a:schemeClr val="accent1">
                        <a:lumMod val="75000"/>
                      </a:schemeClr>
                    </a:gs>
                  </a:gsLst>
                  <a:lin ang="5400000" scaled="1"/>
                </a:gradFill>
              </a:ln>
              <a:effectLst>
                <a:outerShdw blurRad="76200" dist="25400" dir="2700000" algn="tl" rotWithShape="0">
                  <a:schemeClr val="accent1">
                    <a:lumMod val="50000"/>
                    <a:alpha val="30000"/>
                  </a:schemeClr>
                </a:outerShdw>
              </a:effectLst>
            </c:spPr>
          </c:dPt>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Analysis!$A$16:$A$17</c:f>
              <c:strCache>
                <c:ptCount val="2"/>
                <c:pt idx="0">
                  <c:v>Electronics</c:v>
                </c:pt>
                <c:pt idx="1">
                  <c:v>Furniture</c:v>
                </c:pt>
              </c:strCache>
            </c:strRef>
          </c:cat>
          <c:val>
            <c:numRef>
              <c:f>Analysis!$D$16:$D$17</c:f>
              <c:numCache>
                <c:formatCode>0.00%</c:formatCode>
                <c:ptCount val="2"/>
                <c:pt idx="0">
                  <c:v>0.236501079913607</c:v>
                </c:pt>
                <c:pt idx="1">
                  <c:v>0.414414414414414</c:v>
                </c:pt>
              </c:numCache>
            </c:numRef>
          </c:val>
        </c:ser>
        <c:dLbls>
          <c:showLegendKey val="0"/>
          <c:showVal val="1"/>
          <c:showCatName val="0"/>
          <c:showSerName val="0"/>
          <c:showPercent val="0"/>
          <c:showBubbleSize val="0"/>
        </c:dLbls>
        <c:gapWidth val="246"/>
        <c:overlap val="-28"/>
        <c:axId val="950313550"/>
        <c:axId val="541960561"/>
      </c:barChart>
      <c:catAx>
        <c:axId val="950313550"/>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541960561"/>
        <c:crosses val="autoZero"/>
        <c:auto val="1"/>
        <c:lblAlgn val="ctr"/>
        <c:lblOffset val="100"/>
        <c:noMultiLvlLbl val="0"/>
      </c:catAx>
      <c:valAx>
        <c:axId val="541960561"/>
        <c:scaling>
          <c:orientation val="minMax"/>
        </c:scaling>
        <c:delete val="1"/>
        <c:axPos val="l"/>
        <c:majorGridlines>
          <c:spPr>
            <a:ln w="6350" cap="flat" cmpd="sng" algn="ctr">
              <a:solidFill>
                <a:schemeClr val="tx1">
                  <a:lumMod val="50000"/>
                  <a:lumOff val="50000"/>
                  <a:alpha val="25000"/>
                </a:schemeClr>
              </a:solidFill>
              <a:round/>
            </a:ln>
            <a:effectLst/>
          </c:spPr>
        </c:majorGridlines>
        <c:numFmt formatCode="0.00%" sourceLinked="1"/>
        <c:majorTickMark val="none"/>
        <c:minorTickMark val="none"/>
        <c:tickLblPos val="nextTo"/>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950313550"/>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
    <c:plotVisOnly val="1"/>
    <c:dispBlanksAs val="gap"/>
    <c:showDLblsOverMax val="0"/>
    <c:extLst>
      <c:ext uri="{0b15fc19-7d7d-44ad-8c2d-2c3a37ce22c3}">
        <chartProps xmlns="https://web.wps.cn/et/2018/main" chartId="{63aaadee-5c7a-4e0c-90a4-e2f01b88a71f}"/>
      </c:ext>
    </c:extLst>
  </c:chart>
  <c:spPr>
    <a:solidFill>
      <a:schemeClr val="bg1"/>
    </a:solidFill>
    <a:ln w="6350" cap="flat" cmpd="sng" algn="ctr">
      <a:solidFill>
        <a:schemeClr val="tx1">
          <a:lumMod val="50000"/>
          <a:lumOff val="50000"/>
          <a:alpha val="25000"/>
        </a:schemeClr>
      </a:solidFill>
      <a:round/>
    </a:ln>
    <a:effectLst/>
  </c:spPr>
  <c:txPr>
    <a:bodyPr/>
    <a:lstStyle/>
    <a:p>
      <a:pPr>
        <a:defRPr lang="zh-CN">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externalData r:id="rId1">
    <c:autoUpdate val="0"/>
  </c:externalData>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Revenue by Region</a:t>
            </a:r>
          </a:p>
        </c:rich>
      </c:tx>
      <c:layout/>
      <c:overlay val="0"/>
      <c:spPr>
        <a:noFill/>
        <a:ln>
          <a:noFill/>
        </a:ln>
        <a:effectLst/>
      </c:spPr>
    </c:title>
    <c:autoTitleDeleted val="0"/>
    <c:plotArea>
      <c:layout>
        <c:manualLayout>
          <c:layoutTarget val="inner"/>
          <c:xMode val="edge"/>
          <c:yMode val="edge"/>
          <c:x val="0.207119365447862"/>
          <c:y val="0.261324041811847"/>
          <c:w val="0.742774230992455"/>
          <c:h val="0.587595818815331"/>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Analysis!$A$10:$A$12</c:f>
              <c:strCache>
                <c:ptCount val="3"/>
                <c:pt idx="0">
                  <c:v>Dubai</c:v>
                </c:pt>
                <c:pt idx="1">
                  <c:v>Sharjah</c:v>
                </c:pt>
                <c:pt idx="2">
                  <c:v>Abu Dhabi</c:v>
                </c:pt>
              </c:strCache>
            </c:strRef>
          </c:cat>
          <c:val>
            <c:numRef>
              <c:f>Analysis!$B$10:$B$12</c:f>
              <c:numCache>
                <c:formatCode>General</c:formatCode>
                <c:ptCount val="3"/>
                <c:pt idx="0">
                  <c:v>11400</c:v>
                </c:pt>
                <c:pt idx="1">
                  <c:v>7325</c:v>
                </c:pt>
                <c:pt idx="2">
                  <c:v>2200</c:v>
                </c:pt>
              </c:numCache>
            </c:numRef>
          </c:val>
        </c:ser>
        <c:dLbls>
          <c:showLegendKey val="0"/>
          <c:showVal val="1"/>
          <c:showCatName val="0"/>
          <c:showSerName val="0"/>
          <c:showPercent val="0"/>
          <c:showBubbleSize val="0"/>
        </c:dLbls>
        <c:gapWidth val="246"/>
        <c:overlap val="-28"/>
        <c:axId val="833855454"/>
        <c:axId val="750135984"/>
      </c:barChart>
      <c:catAx>
        <c:axId val="83385545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50135984"/>
        <c:crosses val="autoZero"/>
        <c:auto val="1"/>
        <c:lblAlgn val="ctr"/>
        <c:lblOffset val="100"/>
        <c:noMultiLvlLbl val="0"/>
      </c:catAx>
      <c:valAx>
        <c:axId val="750135984"/>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33855454"/>
        <c:crosses val="autoZero"/>
        <c:crossBetween val="between"/>
      </c:valAx>
      <c:spPr>
        <a:noFill/>
        <a:ln>
          <a:noFill/>
        </a:ln>
        <a:effectLst/>
      </c:spPr>
    </c:plotArea>
    <c:plotVisOnly val="1"/>
    <c:dispBlanksAs val="gap"/>
    <c:showDLblsOverMax val="0"/>
    <c:extLst>
      <c:ext uri="{0b15fc19-7d7d-44ad-8c2d-2c3a37ce22c3}">
        <chartProps xmlns="https://web.wps.cn/et/2018/main" chartId="{a91955ea-0c83-4640-b95c-eec947de08f4}"/>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04">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04">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004">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xdr:col>
      <xdr:colOff>245745</xdr:colOff>
      <xdr:row>3</xdr:row>
      <xdr:rowOff>82550</xdr:rowOff>
    </xdr:from>
    <xdr:to>
      <xdr:col>10</xdr:col>
      <xdr:colOff>448310</xdr:colOff>
      <xdr:row>11</xdr:row>
      <xdr:rowOff>101600</xdr:rowOff>
    </xdr:to>
    <xdr:graphicFrame>
      <xdr:nvGraphicFramePr>
        <xdr:cNvPr id="4" name="Chart 3"/>
        <xdr:cNvGraphicFramePr/>
      </xdr:nvGraphicFramePr>
      <xdr:xfrm>
        <a:off x="3896995" y="819150"/>
        <a:ext cx="3250565" cy="14922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33655</xdr:colOff>
      <xdr:row>20</xdr:row>
      <xdr:rowOff>50800</xdr:rowOff>
    </xdr:from>
    <xdr:to>
      <xdr:col>5</xdr:col>
      <xdr:colOff>198120</xdr:colOff>
      <xdr:row>29</xdr:row>
      <xdr:rowOff>44450</xdr:rowOff>
    </xdr:to>
    <xdr:graphicFrame>
      <xdr:nvGraphicFramePr>
        <xdr:cNvPr id="5" name="Chart 4"/>
        <xdr:cNvGraphicFramePr/>
      </xdr:nvGraphicFramePr>
      <xdr:xfrm>
        <a:off x="643255" y="3917950"/>
        <a:ext cx="3206115" cy="16510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290830</xdr:colOff>
      <xdr:row>20</xdr:row>
      <xdr:rowOff>82550</xdr:rowOff>
    </xdr:from>
    <xdr:to>
      <xdr:col>10</xdr:col>
      <xdr:colOff>448945</xdr:colOff>
      <xdr:row>29</xdr:row>
      <xdr:rowOff>76200</xdr:rowOff>
    </xdr:to>
    <xdr:graphicFrame>
      <xdr:nvGraphicFramePr>
        <xdr:cNvPr id="7" name="Chart 6"/>
        <xdr:cNvGraphicFramePr/>
      </xdr:nvGraphicFramePr>
      <xdr:xfrm>
        <a:off x="3942080" y="3949700"/>
        <a:ext cx="3206115" cy="16510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43815</xdr:colOff>
      <xdr:row>11</xdr:row>
      <xdr:rowOff>177800</xdr:rowOff>
    </xdr:from>
    <xdr:to>
      <xdr:col>4</xdr:col>
      <xdr:colOff>467995</xdr:colOff>
      <xdr:row>20</xdr:row>
      <xdr:rowOff>12700</xdr:rowOff>
    </xdr:to>
    <xdr:graphicFrame>
      <xdr:nvGraphicFramePr>
        <xdr:cNvPr id="8" name="Chart 7"/>
        <xdr:cNvGraphicFramePr/>
      </xdr:nvGraphicFramePr>
      <xdr:xfrm>
        <a:off x="653415" y="2387600"/>
        <a:ext cx="2856230" cy="149225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255270</xdr:colOff>
      <xdr:row>11</xdr:row>
      <xdr:rowOff>152400</xdr:rowOff>
    </xdr:from>
    <xdr:to>
      <xdr:col>10</xdr:col>
      <xdr:colOff>475615</xdr:colOff>
      <xdr:row>19</xdr:row>
      <xdr:rowOff>171450</xdr:rowOff>
    </xdr:to>
    <xdr:graphicFrame>
      <xdr:nvGraphicFramePr>
        <xdr:cNvPr id="14" name="Chart 13" descr="7b0a202020202263686172745265734964223a202234353536333835220a7d0a"/>
        <xdr:cNvGraphicFramePr/>
      </xdr:nvGraphicFramePr>
      <xdr:xfrm>
        <a:off x="3906520" y="2362200"/>
        <a:ext cx="3268345" cy="14922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24765</xdr:colOff>
      <xdr:row>3</xdr:row>
      <xdr:rowOff>101600</xdr:rowOff>
    </xdr:from>
    <xdr:to>
      <xdr:col>4</xdr:col>
      <xdr:colOff>469265</xdr:colOff>
      <xdr:row>11</xdr:row>
      <xdr:rowOff>114300</xdr:rowOff>
    </xdr:to>
    <xdr:graphicFrame>
      <xdr:nvGraphicFramePr>
        <xdr:cNvPr id="15" name="Chart 14"/>
        <xdr:cNvGraphicFramePr/>
      </xdr:nvGraphicFramePr>
      <xdr:xfrm>
        <a:off x="634365" y="838200"/>
        <a:ext cx="2876550" cy="14859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id="1" name="Table1" displayName="Table1" ref="A1:J11" totalsRowShown="0">
  <autoFilter xmlns:etc="http://www.wps.cn/officeDocument/2017/etCustomData" ref="A1:J11" etc:filterBottomFollowUsedRange="0"/>
  <tableColumns count="10">
    <tableColumn id="1" name="Order ID"/>
    <tableColumn id="2" name="Date" dataDxfId="0"/>
    <tableColumn id="3" name="Customer"/>
    <tableColumn id="4" name="Region"/>
    <tableColumn id="5" name="Product"/>
    <tableColumn id="6" name="Category"/>
    <tableColumn id="7" name="Quantity"/>
    <tableColumn id="8" name="Unit Price"/>
    <tableColumn id="9" name="Payment"/>
    <tableColumn id="10" name="TOtal Sales" dataDxfId="1">
      <calculatedColumnFormula>G2*H2</calculatedColumnFormula>
    </tableColumn>
  </tableColumns>
  <tableStyleInfo name="TableStylePreset3_Accent1" showFirstColumn="0" showLastColumn="0" showRowStripes="1" showColumnStripes="0"/>
</table>
</file>

<file path=xl/tables/table2.xml><?xml version="1.0" encoding="utf-8"?>
<table xmlns="http://schemas.openxmlformats.org/spreadsheetml/2006/main" id="5" name="Table5" displayName="Table5" ref="A1:B6" totalsRowShown="0">
  <autoFilter xmlns:etc="http://www.wps.cn/officeDocument/2017/etCustomData" ref="A1:B6" etc:filterBottomFollowUsedRange="0"/>
  <tableColumns count="2">
    <tableColumn id="1" name="KPI" dataDxfId="2"/>
    <tableColumn id="2" name="Value" dataDxfId="3"/>
  </tableColumns>
  <tableStyleInfo name="TableStylePreset3_Accent1" showFirstColumn="0" showLastColumn="0" showRowStripes="1" showColumnStripes="0"/>
</table>
</file>

<file path=xl/tables/table3.xml><?xml version="1.0" encoding="utf-8"?>
<table xmlns="http://schemas.openxmlformats.org/spreadsheetml/2006/main" id="6" name="Table6" displayName="Table6" ref="F1:I7" totalsRowShown="0">
  <autoFilter xmlns:etc="http://www.wps.cn/officeDocument/2017/etCustomData" ref="F1:I7" etc:filterBottomFollowUsedRange="0"/>
  <tableColumns count="4">
    <tableColumn id="1" name="Product" dataDxfId="4"/>
    <tableColumn id="2" name="Revenue" dataDxfId="5"/>
    <tableColumn id="3" name="Profit" dataDxfId="6"/>
    <tableColumn id="4" name="Profit Margin" dataDxfId="7">
      <calculatedColumnFormula>H2/G2</calculatedColumnFormula>
    </tableColumn>
  </tableColumns>
  <tableStyleInfo name="TableStylePreset3_Accent1" showFirstColumn="0" showLastColumn="0" showRowStripes="1" showColumnStripes="0"/>
</table>
</file>

<file path=xl/tables/table4.xml><?xml version="1.0" encoding="utf-8"?>
<table xmlns="http://schemas.openxmlformats.org/spreadsheetml/2006/main" id="7" name="Table7" displayName="Table7" ref="A9:D12" totalsRowShown="0">
  <autoFilter xmlns:etc="http://www.wps.cn/officeDocument/2017/etCustomData" ref="A9:D12" etc:filterBottomFollowUsedRange="0"/>
  <tableColumns count="4">
    <tableColumn id="1" name="Region" dataDxfId="8"/>
    <tableColumn id="2" name="Revenue" dataDxfId="9"/>
    <tableColumn id="3" name="Profit" dataDxfId="10"/>
    <tableColumn id="4" name="Profit Margin" dataDxfId="11">
      <calculatedColumnFormula>C10/B10</calculatedColumnFormula>
    </tableColumn>
  </tableColumns>
  <tableStyleInfo name="TableStylePreset3_Accent1" showFirstColumn="0" showLastColumn="0" showRowStripes="1" showColumnStripes="0"/>
</table>
</file>

<file path=xl/tables/table5.xml><?xml version="1.0" encoding="utf-8"?>
<table xmlns="http://schemas.openxmlformats.org/spreadsheetml/2006/main" id="8" name="Table8" displayName="Table8" ref="A15:D17" totalsRowShown="0">
  <autoFilter xmlns:etc="http://www.wps.cn/officeDocument/2017/etCustomData" ref="A15:D17" etc:filterBottomFollowUsedRange="0"/>
  <tableColumns count="4">
    <tableColumn id="1" name="Category" dataDxfId="12"/>
    <tableColumn id="2" name="Revenue" dataDxfId="13"/>
    <tableColumn id="3" name="Profit" dataDxfId="14"/>
    <tableColumn id="4" name="Profit Margin" dataDxfId="15">
      <calculatedColumnFormula>C16/B16</calculatedColumnFormula>
    </tableColumn>
  </tableColumns>
  <tableStyleInfo name="TableStylePreset3_Accent1"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4" Type="http://schemas.openxmlformats.org/officeDocument/2006/relationships/table" Target="../tables/table5.xml"/><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workbookViewId="0">
      <selection activeCell="C15" sqref="C15"/>
    </sheetView>
  </sheetViews>
  <sheetFormatPr defaultColWidth="8.72727272727273" defaultRowHeight="14.5"/>
  <cols>
    <col min="1" max="1" width="8.72727272727273" customWidth="1"/>
    <col min="2" max="2" width="10.2727272727273" customWidth="1"/>
    <col min="3" max="3" width="9.63636363636364" customWidth="1"/>
    <col min="4" max="4" width="10.3636363636364" customWidth="1"/>
    <col min="5" max="5" width="8.36363636363636" customWidth="1"/>
    <col min="6" max="6" width="10.5454545454545" customWidth="1"/>
    <col min="7" max="7" width="8.72727272727273" customWidth="1"/>
    <col min="8" max="8" width="9.45454545454546" customWidth="1"/>
    <col min="9" max="9" width="13.5454545454545" customWidth="1"/>
  </cols>
  <sheetData>
    <row r="1" spans="1:10">
      <c r="A1" s="28" t="s">
        <v>0</v>
      </c>
      <c r="B1" s="28" t="s">
        <v>1</v>
      </c>
      <c r="C1" s="28" t="s">
        <v>2</v>
      </c>
      <c r="D1" s="28" t="s">
        <v>3</v>
      </c>
      <c r="E1" s="28" t="s">
        <v>4</v>
      </c>
      <c r="F1" s="28" t="s">
        <v>5</v>
      </c>
      <c r="G1" s="28" t="s">
        <v>6</v>
      </c>
      <c r="H1" s="28" t="s">
        <v>7</v>
      </c>
      <c r="I1" s="28" t="s">
        <v>8</v>
      </c>
      <c r="J1" s="28" t="s">
        <v>9</v>
      </c>
    </row>
    <row r="2" spans="1:10">
      <c r="A2" t="s">
        <v>10</v>
      </c>
      <c r="B2" s="39">
        <v>46023</v>
      </c>
      <c r="C2" t="s">
        <v>11</v>
      </c>
      <c r="D2" t="s">
        <v>12</v>
      </c>
      <c r="E2" t="s">
        <v>13</v>
      </c>
      <c r="F2" t="s">
        <v>14</v>
      </c>
      <c r="G2">
        <v>2</v>
      </c>
      <c r="H2">
        <v>3500</v>
      </c>
      <c r="I2" t="s">
        <v>15</v>
      </c>
      <c r="J2" s="40">
        <f t="shared" ref="J2:J11" si="0">G2*H2</f>
        <v>7000</v>
      </c>
    </row>
    <row r="3" spans="1:10">
      <c r="A3" t="s">
        <v>16</v>
      </c>
      <c r="B3" s="39">
        <v>46024</v>
      </c>
      <c r="C3" t="s">
        <v>17</v>
      </c>
      <c r="D3" t="s">
        <v>18</v>
      </c>
      <c r="E3" t="s">
        <v>19</v>
      </c>
      <c r="F3" t="s">
        <v>14</v>
      </c>
      <c r="G3">
        <v>5</v>
      </c>
      <c r="H3">
        <v>80</v>
      </c>
      <c r="I3" t="s">
        <v>20</v>
      </c>
      <c r="J3" s="40">
        <f t="shared" si="0"/>
        <v>400</v>
      </c>
    </row>
    <row r="4" spans="1:10">
      <c r="A4" t="s">
        <v>21</v>
      </c>
      <c r="B4" s="39">
        <v>46025</v>
      </c>
      <c r="C4" t="s">
        <v>22</v>
      </c>
      <c r="D4" t="s">
        <v>12</v>
      </c>
      <c r="E4" t="s">
        <v>23</v>
      </c>
      <c r="F4" t="s">
        <v>24</v>
      </c>
      <c r="G4">
        <v>3</v>
      </c>
      <c r="H4">
        <v>450</v>
      </c>
      <c r="I4" t="s">
        <v>15</v>
      </c>
      <c r="J4" s="40">
        <f t="shared" si="0"/>
        <v>1350</v>
      </c>
    </row>
    <row r="5" spans="1:10">
      <c r="A5" t="s">
        <v>25</v>
      </c>
      <c r="B5" s="39">
        <v>46026</v>
      </c>
      <c r="C5" t="s">
        <v>26</v>
      </c>
      <c r="D5" t="s">
        <v>27</v>
      </c>
      <c r="E5" t="s">
        <v>28</v>
      </c>
      <c r="F5" t="s">
        <v>14</v>
      </c>
      <c r="G5">
        <v>2</v>
      </c>
      <c r="H5">
        <v>850</v>
      </c>
      <c r="I5" t="s">
        <v>29</v>
      </c>
      <c r="J5" s="40">
        <f t="shared" si="0"/>
        <v>1700</v>
      </c>
    </row>
    <row r="6" spans="1:10">
      <c r="A6" t="s">
        <v>30</v>
      </c>
      <c r="B6" s="39">
        <v>46027</v>
      </c>
      <c r="C6" t="s">
        <v>31</v>
      </c>
      <c r="D6" t="s">
        <v>12</v>
      </c>
      <c r="E6" t="s">
        <v>13</v>
      </c>
      <c r="F6" t="s">
        <v>14</v>
      </c>
      <c r="G6">
        <v>1</v>
      </c>
      <c r="H6">
        <v>3500</v>
      </c>
      <c r="I6" t="s">
        <v>15</v>
      </c>
      <c r="J6" s="40">
        <f t="shared" si="0"/>
        <v>3500</v>
      </c>
    </row>
    <row r="7" spans="1:10">
      <c r="A7" t="s">
        <v>32</v>
      </c>
      <c r="B7" s="39">
        <v>46028</v>
      </c>
      <c r="C7" t="s">
        <v>33</v>
      </c>
      <c r="D7" t="s">
        <v>18</v>
      </c>
      <c r="E7" t="s">
        <v>34</v>
      </c>
      <c r="F7" t="s">
        <v>24</v>
      </c>
      <c r="G7">
        <v>2</v>
      </c>
      <c r="H7">
        <v>1200</v>
      </c>
      <c r="I7" t="s">
        <v>20</v>
      </c>
      <c r="J7" s="40">
        <f t="shared" si="0"/>
        <v>2400</v>
      </c>
    </row>
    <row r="8" spans="1:10">
      <c r="A8" t="s">
        <v>35</v>
      </c>
      <c r="B8" s="39">
        <v>46029</v>
      </c>
      <c r="C8" t="s">
        <v>36</v>
      </c>
      <c r="D8" t="s">
        <v>12</v>
      </c>
      <c r="E8" t="s">
        <v>37</v>
      </c>
      <c r="F8" t="s">
        <v>14</v>
      </c>
      <c r="G8">
        <v>3</v>
      </c>
      <c r="H8">
        <v>900</v>
      </c>
      <c r="I8" t="s">
        <v>15</v>
      </c>
      <c r="J8" s="40">
        <f t="shared" si="0"/>
        <v>2700</v>
      </c>
    </row>
    <row r="9" spans="1:10">
      <c r="A9" t="s">
        <v>38</v>
      </c>
      <c r="B9" s="39">
        <v>46030</v>
      </c>
      <c r="C9" t="s">
        <v>39</v>
      </c>
      <c r="D9" t="s">
        <v>27</v>
      </c>
      <c r="E9" t="s">
        <v>23</v>
      </c>
      <c r="F9" t="s">
        <v>24</v>
      </c>
      <c r="G9">
        <v>4</v>
      </c>
      <c r="H9">
        <v>450</v>
      </c>
      <c r="I9" t="s">
        <v>20</v>
      </c>
      <c r="J9" s="40">
        <f t="shared" si="0"/>
        <v>1800</v>
      </c>
    </row>
    <row r="10" spans="1:10">
      <c r="A10" t="s">
        <v>40</v>
      </c>
      <c r="B10" s="39">
        <v>46031</v>
      </c>
      <c r="C10" t="s">
        <v>11</v>
      </c>
      <c r="D10" t="s">
        <v>12</v>
      </c>
      <c r="E10" t="s">
        <v>28</v>
      </c>
      <c r="F10" t="s">
        <v>14</v>
      </c>
      <c r="G10">
        <v>1</v>
      </c>
      <c r="H10">
        <v>850</v>
      </c>
      <c r="I10" t="s">
        <v>15</v>
      </c>
      <c r="J10" s="40">
        <f t="shared" si="0"/>
        <v>850</v>
      </c>
    </row>
    <row r="11" spans="1:10">
      <c r="A11" t="s">
        <v>41</v>
      </c>
      <c r="B11" s="39">
        <v>46032</v>
      </c>
      <c r="C11" t="s">
        <v>17</v>
      </c>
      <c r="D11" t="s">
        <v>18</v>
      </c>
      <c r="E11" t="s">
        <v>13</v>
      </c>
      <c r="F11" t="s">
        <v>14</v>
      </c>
      <c r="G11">
        <v>2</v>
      </c>
      <c r="H11">
        <v>3500</v>
      </c>
      <c r="I11" t="s">
        <v>29</v>
      </c>
      <c r="J11" s="40">
        <f t="shared" si="0"/>
        <v>7000</v>
      </c>
    </row>
  </sheetData>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E14" sqref="E14"/>
    </sheetView>
  </sheetViews>
  <sheetFormatPr defaultColWidth="8.72727272727273" defaultRowHeight="14.5"/>
  <cols>
    <col min="1" max="1" width="8.72727272727273" customWidth="1"/>
    <col min="2" max="2" width="10.2727272727273" customWidth="1"/>
    <col min="3" max="3" width="9.72727272727273" customWidth="1"/>
    <col min="4" max="4" width="10.3636363636364" customWidth="1"/>
    <col min="5" max="5" width="8.36363636363636" customWidth="1"/>
    <col min="6" max="6" width="10.5454545454545" customWidth="1"/>
    <col min="7" max="7" width="8.90909090909091" customWidth="1"/>
    <col min="8" max="8" width="9.63636363636364" customWidth="1"/>
    <col min="9" max="9" width="13.5454545454545" customWidth="1"/>
    <col min="10" max="10" width="14.6363636363636" customWidth="1"/>
    <col min="11" max="11" width="14.0909090909091" customWidth="1"/>
    <col min="12" max="12" width="13.4545454545455" customWidth="1"/>
    <col min="13" max="13" width="9.81818181818182" customWidth="1"/>
    <col min="14" max="14" width="13.6363636363636" customWidth="1"/>
  </cols>
  <sheetData>
    <row r="1" ht="15.25" spans="1:14">
      <c r="A1" s="29" t="s">
        <v>0</v>
      </c>
      <c r="B1" s="30" t="s">
        <v>1</v>
      </c>
      <c r="C1" s="30" t="s">
        <v>2</v>
      </c>
      <c r="D1" s="30" t="s">
        <v>3</v>
      </c>
      <c r="E1" s="30" t="s">
        <v>4</v>
      </c>
      <c r="F1" s="30" t="s">
        <v>5</v>
      </c>
      <c r="G1" s="30" t="s">
        <v>6</v>
      </c>
      <c r="H1" s="30" t="s">
        <v>7</v>
      </c>
      <c r="I1" s="30" t="s">
        <v>8</v>
      </c>
      <c r="J1" s="30" t="s">
        <v>9</v>
      </c>
      <c r="K1" s="30" t="s">
        <v>42</v>
      </c>
      <c r="L1" s="30" t="s">
        <v>43</v>
      </c>
      <c r="M1" s="30" t="s">
        <v>44</v>
      </c>
      <c r="N1" s="31" t="s">
        <v>45</v>
      </c>
    </row>
    <row r="2" ht="15.25" spans="1:14">
      <c r="A2" s="32" t="s">
        <v>10</v>
      </c>
      <c r="B2" s="33">
        <v>46023</v>
      </c>
      <c r="C2" s="34" t="s">
        <v>11</v>
      </c>
      <c r="D2" s="34" t="s">
        <v>12</v>
      </c>
      <c r="E2" s="34" t="s">
        <v>13</v>
      </c>
      <c r="F2" s="34" t="s">
        <v>14</v>
      </c>
      <c r="G2" s="34">
        <v>2</v>
      </c>
      <c r="H2" s="34">
        <v>3500</v>
      </c>
      <c r="I2" s="34" t="s">
        <v>15</v>
      </c>
      <c r="J2" s="34">
        <f t="shared" ref="J2:J11" si="0">G2*H2</f>
        <v>7000</v>
      </c>
      <c r="K2" s="34">
        <f>_xlfn.XLOOKUP(E2,'Product Costs'!$A$2:$A$7,'Product Costs'!$B$2:$B$7,"Not found")</f>
        <v>2800</v>
      </c>
      <c r="L2" s="34">
        <f t="shared" ref="L2:L11" si="1">G2*K2</f>
        <v>5600</v>
      </c>
      <c r="M2" s="34">
        <f t="shared" ref="M2:M11" si="2">J2-L2</f>
        <v>1400</v>
      </c>
      <c r="N2" s="35">
        <f t="shared" ref="N2:N11" si="3">M2/J2</f>
        <v>0.2</v>
      </c>
    </row>
    <row r="3" spans="1:14">
      <c r="A3" s="32" t="s">
        <v>16</v>
      </c>
      <c r="B3" s="33">
        <v>46024</v>
      </c>
      <c r="C3" s="34" t="s">
        <v>17</v>
      </c>
      <c r="D3" s="34" t="s">
        <v>18</v>
      </c>
      <c r="E3" s="34" t="s">
        <v>19</v>
      </c>
      <c r="F3" s="34" t="s">
        <v>14</v>
      </c>
      <c r="G3" s="34">
        <v>5</v>
      </c>
      <c r="H3" s="34">
        <v>80</v>
      </c>
      <c r="I3" s="34" t="s">
        <v>20</v>
      </c>
      <c r="J3" s="34">
        <f t="shared" si="0"/>
        <v>400</v>
      </c>
      <c r="K3" s="34">
        <f>_xlfn.XLOOKUP(E3,'Product Costs'!$A$2:$A$7,'Product Costs'!$B$2:$B$7,"Not found")</f>
        <v>45</v>
      </c>
      <c r="L3" s="34">
        <f t="shared" si="1"/>
        <v>225</v>
      </c>
      <c r="M3" s="34">
        <f t="shared" si="2"/>
        <v>175</v>
      </c>
      <c r="N3" s="35">
        <f t="shared" si="3"/>
        <v>0.4375</v>
      </c>
    </row>
    <row r="4" spans="1:14">
      <c r="A4" s="32" t="s">
        <v>21</v>
      </c>
      <c r="B4" s="33">
        <v>46025</v>
      </c>
      <c r="C4" s="34" t="s">
        <v>22</v>
      </c>
      <c r="D4" s="34" t="s">
        <v>12</v>
      </c>
      <c r="E4" s="34" t="s">
        <v>23</v>
      </c>
      <c r="F4" s="34" t="s">
        <v>24</v>
      </c>
      <c r="G4" s="34">
        <v>3</v>
      </c>
      <c r="H4" s="34">
        <v>450</v>
      </c>
      <c r="I4" s="34" t="s">
        <v>15</v>
      </c>
      <c r="J4" s="34">
        <f t="shared" si="0"/>
        <v>1350</v>
      </c>
      <c r="K4" s="34">
        <f>_xlfn.XLOOKUP(E4,'Product Costs'!$A$2:$A$7,'Product Costs'!$B$2:$B$7,"Not found")</f>
        <v>250</v>
      </c>
      <c r="L4" s="34">
        <f t="shared" si="1"/>
        <v>750</v>
      </c>
      <c r="M4" s="34">
        <f t="shared" si="2"/>
        <v>600</v>
      </c>
      <c r="N4" s="35">
        <f t="shared" si="3"/>
        <v>0.444444444444444</v>
      </c>
    </row>
    <row r="5" spans="1:14">
      <c r="A5" s="32" t="s">
        <v>25</v>
      </c>
      <c r="B5" s="33">
        <v>46026</v>
      </c>
      <c r="C5" s="34" t="s">
        <v>26</v>
      </c>
      <c r="D5" s="34" t="s">
        <v>27</v>
      </c>
      <c r="E5" s="34" t="s">
        <v>28</v>
      </c>
      <c r="F5" s="34" t="s">
        <v>14</v>
      </c>
      <c r="G5" s="34">
        <v>2</v>
      </c>
      <c r="H5" s="34">
        <v>850</v>
      </c>
      <c r="I5" s="34" t="s">
        <v>29</v>
      </c>
      <c r="J5" s="34">
        <f t="shared" si="0"/>
        <v>1700</v>
      </c>
      <c r="K5" s="34">
        <f>_xlfn.XLOOKUP(E5,'Product Costs'!$A$2:$A$7,'Product Costs'!$B$2:$B$7,"Not found")</f>
        <v>600</v>
      </c>
      <c r="L5" s="34">
        <f t="shared" si="1"/>
        <v>1200</v>
      </c>
      <c r="M5" s="34">
        <f t="shared" si="2"/>
        <v>500</v>
      </c>
      <c r="N5" s="35">
        <f t="shared" si="3"/>
        <v>0.294117647058824</v>
      </c>
    </row>
    <row r="6" spans="1:14">
      <c r="A6" s="32" t="s">
        <v>30</v>
      </c>
      <c r="B6" s="33">
        <v>46027</v>
      </c>
      <c r="C6" s="34" t="s">
        <v>31</v>
      </c>
      <c r="D6" s="34" t="s">
        <v>12</v>
      </c>
      <c r="E6" s="34" t="s">
        <v>13</v>
      </c>
      <c r="F6" s="34" t="s">
        <v>14</v>
      </c>
      <c r="G6" s="34">
        <v>1</v>
      </c>
      <c r="H6" s="34">
        <v>3500</v>
      </c>
      <c r="I6" s="34" t="s">
        <v>15</v>
      </c>
      <c r="J6" s="34">
        <f t="shared" si="0"/>
        <v>3500</v>
      </c>
      <c r="K6" s="34">
        <f>_xlfn.XLOOKUP(E6,'Product Costs'!$A$2:$A$7,'Product Costs'!$B$2:$B$7,"Not found")</f>
        <v>2800</v>
      </c>
      <c r="L6" s="34">
        <f t="shared" si="1"/>
        <v>2800</v>
      </c>
      <c r="M6" s="34">
        <f t="shared" si="2"/>
        <v>700</v>
      </c>
      <c r="N6" s="35">
        <f t="shared" si="3"/>
        <v>0.2</v>
      </c>
    </row>
    <row r="7" spans="1:14">
      <c r="A7" s="32" t="s">
        <v>32</v>
      </c>
      <c r="B7" s="33">
        <v>46028</v>
      </c>
      <c r="C7" s="34" t="s">
        <v>33</v>
      </c>
      <c r="D7" s="34" t="s">
        <v>18</v>
      </c>
      <c r="E7" s="34" t="s">
        <v>34</v>
      </c>
      <c r="F7" s="34" t="s">
        <v>24</v>
      </c>
      <c r="G7" s="34">
        <v>2</v>
      </c>
      <c r="H7" s="34">
        <v>1200</v>
      </c>
      <c r="I7" s="34" t="s">
        <v>20</v>
      </c>
      <c r="J7" s="34">
        <f t="shared" si="0"/>
        <v>2400</v>
      </c>
      <c r="K7" s="34">
        <f>_xlfn.XLOOKUP(E7,'Product Costs'!$A$2:$A$7,'Product Costs'!$B$2:$B$7,"Not found")</f>
        <v>750</v>
      </c>
      <c r="L7" s="34">
        <f t="shared" si="1"/>
        <v>1500</v>
      </c>
      <c r="M7" s="34">
        <f t="shared" si="2"/>
        <v>900</v>
      </c>
      <c r="N7" s="35">
        <f t="shared" si="3"/>
        <v>0.375</v>
      </c>
    </row>
    <row r="8" spans="1:14">
      <c r="A8" s="32" t="s">
        <v>35</v>
      </c>
      <c r="B8" s="33">
        <v>46029</v>
      </c>
      <c r="C8" s="34" t="s">
        <v>36</v>
      </c>
      <c r="D8" s="34" t="s">
        <v>12</v>
      </c>
      <c r="E8" s="34" t="s">
        <v>37</v>
      </c>
      <c r="F8" s="34" t="s">
        <v>14</v>
      </c>
      <c r="G8" s="34">
        <v>3</v>
      </c>
      <c r="H8" s="34">
        <v>900</v>
      </c>
      <c r="I8" s="34" t="s">
        <v>15</v>
      </c>
      <c r="J8" s="34">
        <f t="shared" si="0"/>
        <v>2700</v>
      </c>
      <c r="K8" s="34">
        <f>_xlfn.XLOOKUP(E8,'Product Costs'!$A$2:$A$7,'Product Costs'!$B$2:$B$7,"Not found")</f>
        <v>550</v>
      </c>
      <c r="L8" s="34">
        <f t="shared" si="1"/>
        <v>1650</v>
      </c>
      <c r="M8" s="34">
        <f t="shared" si="2"/>
        <v>1050</v>
      </c>
      <c r="N8" s="35">
        <f t="shared" si="3"/>
        <v>0.388888888888889</v>
      </c>
    </row>
    <row r="9" spans="1:14">
      <c r="A9" s="32" t="s">
        <v>38</v>
      </c>
      <c r="B9" s="33">
        <v>46030</v>
      </c>
      <c r="C9" s="34" t="s">
        <v>39</v>
      </c>
      <c r="D9" s="34" t="s">
        <v>27</v>
      </c>
      <c r="E9" s="34" t="s">
        <v>23</v>
      </c>
      <c r="F9" s="34" t="s">
        <v>24</v>
      </c>
      <c r="G9" s="34">
        <v>4</v>
      </c>
      <c r="H9" s="34">
        <v>450</v>
      </c>
      <c r="I9" s="34" t="s">
        <v>20</v>
      </c>
      <c r="J9" s="34">
        <f t="shared" si="0"/>
        <v>1800</v>
      </c>
      <c r="K9" s="34">
        <f>_xlfn.XLOOKUP(E9,'Product Costs'!$A$2:$A$7,'Product Costs'!$B$2:$B$7,"Not found")</f>
        <v>250</v>
      </c>
      <c r="L9" s="34">
        <f t="shared" si="1"/>
        <v>1000</v>
      </c>
      <c r="M9" s="34">
        <f t="shared" si="2"/>
        <v>800</v>
      </c>
      <c r="N9" s="35">
        <f t="shared" si="3"/>
        <v>0.444444444444444</v>
      </c>
    </row>
    <row r="10" spans="1:14">
      <c r="A10" s="32" t="s">
        <v>40</v>
      </c>
      <c r="B10" s="33">
        <v>46031</v>
      </c>
      <c r="C10" s="34" t="s">
        <v>11</v>
      </c>
      <c r="D10" s="34" t="s">
        <v>12</v>
      </c>
      <c r="E10" s="34" t="s">
        <v>28</v>
      </c>
      <c r="F10" s="34" t="s">
        <v>14</v>
      </c>
      <c r="G10" s="34">
        <v>1</v>
      </c>
      <c r="H10" s="34">
        <v>850</v>
      </c>
      <c r="I10" s="34" t="s">
        <v>15</v>
      </c>
      <c r="J10" s="34">
        <f t="shared" si="0"/>
        <v>850</v>
      </c>
      <c r="K10" s="34">
        <f>_xlfn.XLOOKUP(E10,'Product Costs'!$A$2:$A$7,'Product Costs'!$B$2:$B$7,"Not found")</f>
        <v>600</v>
      </c>
      <c r="L10" s="34">
        <f t="shared" si="1"/>
        <v>600</v>
      </c>
      <c r="M10" s="34">
        <f t="shared" si="2"/>
        <v>250</v>
      </c>
      <c r="N10" s="35">
        <f t="shared" si="3"/>
        <v>0.294117647058824</v>
      </c>
    </row>
    <row r="11" spans="1:14">
      <c r="A11" s="36" t="s">
        <v>41</v>
      </c>
      <c r="B11" s="37">
        <v>46032</v>
      </c>
      <c r="C11" s="38" t="s">
        <v>17</v>
      </c>
      <c r="D11" s="38" t="s">
        <v>18</v>
      </c>
      <c r="E11" s="38" t="s">
        <v>13</v>
      </c>
      <c r="F11" s="38" t="s">
        <v>14</v>
      </c>
      <c r="G11" s="38">
        <v>2</v>
      </c>
      <c r="H11" s="38">
        <v>3500</v>
      </c>
      <c r="I11" s="38" t="s">
        <v>29</v>
      </c>
      <c r="J11" s="38">
        <f t="shared" si="0"/>
        <v>7000</v>
      </c>
      <c r="K11" s="34">
        <f>_xlfn.XLOOKUP(E11,'Product Costs'!$A$2:$A$7,'Product Costs'!$B$2:$B$7,"Not found")</f>
        <v>2800</v>
      </c>
      <c r="L11" s="34">
        <f t="shared" si="1"/>
        <v>5600</v>
      </c>
      <c r="M11" s="34">
        <f t="shared" si="2"/>
        <v>1400</v>
      </c>
      <c r="N11" s="35">
        <f t="shared" si="3"/>
        <v>0.2</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A2" sqref="A2:A7"/>
    </sheetView>
  </sheetViews>
  <sheetFormatPr defaultColWidth="8.72727272727273" defaultRowHeight="14.5" outlineLevelRow="6" outlineLevelCol="1"/>
  <sheetData>
    <row r="1" spans="1:2">
      <c r="A1" t="s">
        <v>4</v>
      </c>
      <c r="B1" t="s">
        <v>42</v>
      </c>
    </row>
    <row r="2" spans="1:2">
      <c r="A2" t="s">
        <v>13</v>
      </c>
      <c r="B2">
        <v>2800</v>
      </c>
    </row>
    <row r="3" spans="1:2">
      <c r="A3" t="s">
        <v>19</v>
      </c>
      <c r="B3">
        <v>45</v>
      </c>
    </row>
    <row r="4" spans="1:2">
      <c r="A4" t="s">
        <v>23</v>
      </c>
      <c r="B4">
        <v>250</v>
      </c>
    </row>
    <row r="5" spans="1:2">
      <c r="A5" t="s">
        <v>28</v>
      </c>
      <c r="B5">
        <v>600</v>
      </c>
    </row>
    <row r="6" spans="1:2">
      <c r="A6" t="s">
        <v>34</v>
      </c>
      <c r="B6">
        <v>750</v>
      </c>
    </row>
    <row r="7" spans="1:2">
      <c r="A7" t="s">
        <v>37</v>
      </c>
      <c r="B7">
        <v>550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6"/>
  <sheetViews>
    <sheetView workbookViewId="0">
      <selection activeCell="H16" sqref="H16"/>
    </sheetView>
  </sheetViews>
  <sheetFormatPr defaultColWidth="8.72727272727273" defaultRowHeight="14.5"/>
  <cols>
    <col min="1" max="1" width="21.4545454545455" customWidth="1"/>
    <col min="2" max="2" width="18.3636363636364" customWidth="1"/>
    <col min="4" max="4" width="12.1818181818182" customWidth="1"/>
    <col min="7" max="7" width="11.1818181818182" customWidth="1"/>
    <col min="8" max="8" width="14" customWidth="1"/>
    <col min="9" max="9" width="17.9090909090909" customWidth="1"/>
  </cols>
  <sheetData>
    <row r="1" spans="1:9">
      <c r="A1" s="19" t="s">
        <v>46</v>
      </c>
      <c r="B1" s="19" t="s">
        <v>47</v>
      </c>
      <c r="F1" s="20" t="s">
        <v>4</v>
      </c>
      <c r="G1" s="20" t="s">
        <v>48</v>
      </c>
      <c r="H1" s="20" t="s">
        <v>44</v>
      </c>
      <c r="I1" s="20" t="s">
        <v>45</v>
      </c>
    </row>
    <row r="2" spans="1:9">
      <c r="A2" s="21" t="s">
        <v>49</v>
      </c>
      <c r="B2" s="22">
        <f>SUM('Cleaned Data'!J2:J11)</f>
        <v>28700</v>
      </c>
      <c r="F2" s="21" t="s">
        <v>13</v>
      </c>
      <c r="G2" s="22">
        <f>SUMIF('Cleaned Data'!E2:E11,"Laptop",'Cleaned Data'!J2:J11)</f>
        <v>17500</v>
      </c>
      <c r="H2" s="22">
        <f>SUMIF('Cleaned Data'!E2:E11,"Laptop",'Cleaned Data'!M2:M11)</f>
        <v>3500</v>
      </c>
      <c r="I2" s="23">
        <f t="shared" ref="I2:I7" si="0">H2/G2</f>
        <v>0.2</v>
      </c>
    </row>
    <row r="3" spans="1:9">
      <c r="A3" s="21" t="s">
        <v>50</v>
      </c>
      <c r="B3" s="22">
        <f>SUM('Cleaned Data'!M2:M11)</f>
        <v>7775</v>
      </c>
      <c r="F3" s="21" t="s">
        <v>19</v>
      </c>
      <c r="G3" s="22">
        <f>SUMIF('Cleaned Data'!E2:E11,"Mouse",'Cleaned Data'!J2:J11)</f>
        <v>400</v>
      </c>
      <c r="H3" s="22">
        <f>SUMIF('Cleaned Data'!E2:E11,"Mouse",'Cleaned Data'!M2:M11)</f>
        <v>175</v>
      </c>
      <c r="I3" s="23">
        <f t="shared" si="0"/>
        <v>0.4375</v>
      </c>
    </row>
    <row r="4" spans="1:9">
      <c r="A4" s="21" t="s">
        <v>51</v>
      </c>
      <c r="B4" s="23">
        <f>B3/B2</f>
        <v>0.270905923344948</v>
      </c>
      <c r="F4" s="21" t="s">
        <v>23</v>
      </c>
      <c r="G4" s="22">
        <f>SUMIF('Cleaned Data'!E2:E11,"Chair",'Cleaned Data'!J2:J11)</f>
        <v>3150</v>
      </c>
      <c r="H4" s="22">
        <f>SUMIF('Cleaned Data'!E2:E11,"Chair",'Cleaned Data'!M2:M11)</f>
        <v>1400</v>
      </c>
      <c r="I4" s="23">
        <f t="shared" si="0"/>
        <v>0.444444444444444</v>
      </c>
    </row>
    <row r="5" spans="1:9">
      <c r="A5" s="21" t="s">
        <v>52</v>
      </c>
      <c r="B5" s="22">
        <f>COUNT('Cleaned Data'!J2:J11)</f>
        <v>10</v>
      </c>
      <c r="F5" s="21" t="s">
        <v>28</v>
      </c>
      <c r="G5" s="22">
        <f>SUMIF('Cleaned Data'!E2:E11,"Printer",'Cleaned Data'!J2:J11)</f>
        <v>2550</v>
      </c>
      <c r="H5" s="22">
        <f>SUMIF('Cleaned Data'!E2:E11,"Printer",'Cleaned Data'!M2:M11)</f>
        <v>750</v>
      </c>
      <c r="I5" s="23">
        <f t="shared" si="0"/>
        <v>0.294117647058824</v>
      </c>
    </row>
    <row r="6" spans="1:9">
      <c r="A6" s="21" t="s">
        <v>53</v>
      </c>
      <c r="B6" s="22">
        <f>B2/B5</f>
        <v>2870</v>
      </c>
      <c r="F6" s="21" t="s">
        <v>34</v>
      </c>
      <c r="G6" s="22">
        <f>SUMIF('Cleaned Data'!E2:E11,"Desk",'Cleaned Data'!J2:J11)</f>
        <v>2400</v>
      </c>
      <c r="H6" s="22">
        <f>SUMIF('Cleaned Data'!E2:E11,"Desk",'Cleaned Data'!M2:M11)</f>
        <v>900</v>
      </c>
      <c r="I6" s="23">
        <f t="shared" si="0"/>
        <v>0.375</v>
      </c>
    </row>
    <row r="7" spans="1:9">
      <c r="F7" s="21" t="s">
        <v>37</v>
      </c>
      <c r="G7" s="22">
        <f>SUMIF('Cleaned Data'!E2:E11,"Monitor",'Cleaned Data'!J2:J11)</f>
        <v>2700</v>
      </c>
      <c r="H7" s="22">
        <f>SUMIF('Cleaned Data'!E2:E11,"Monitor",'Cleaned Data'!M2:M11)</f>
        <v>1050</v>
      </c>
      <c r="I7" s="23">
        <f t="shared" si="0"/>
        <v>0.388888888888889</v>
      </c>
    </row>
    <row r="9" spans="1:9">
      <c r="A9" s="24" t="s">
        <v>3</v>
      </c>
      <c r="B9" s="24" t="s">
        <v>48</v>
      </c>
      <c r="C9" s="24" t="s">
        <v>44</v>
      </c>
      <c r="D9" s="24" t="s">
        <v>45</v>
      </c>
    </row>
    <row r="10" spans="1:9">
      <c r="A10" s="25" t="s">
        <v>12</v>
      </c>
      <c r="B10" s="25">
        <f>SUMIF('Cleaned Data'!D2:D11,"Dubai",'Cleaned Data'!L2:L11)</f>
        <v>11400</v>
      </c>
      <c r="C10" s="25">
        <f>SUMIF('Cleaned Data'!D2:D11,"Dubai",'Cleaned Data'!M2:M11)</f>
        <v>4000</v>
      </c>
      <c r="D10" s="26">
        <f>C10/B10</f>
        <v>0.350877192982456</v>
      </c>
    </row>
    <row r="11" spans="1:9">
      <c r="A11" s="25" t="s">
        <v>18</v>
      </c>
      <c r="B11" s="25">
        <f>SUMIF('Cleaned Data'!D2:D11,"Sharjah",'Cleaned Data'!L2:L11)</f>
        <v>7325</v>
      </c>
      <c r="C11" s="25">
        <f>SUMIF('Cleaned Data'!D2:D11,"Sharjah",'Cleaned Data'!M2:M11)</f>
        <v>2475</v>
      </c>
      <c r="D11" s="26">
        <f>C11/B11</f>
        <v>0.337883959044369</v>
      </c>
    </row>
    <row r="12" spans="1:9">
      <c r="A12" s="25" t="s">
        <v>27</v>
      </c>
      <c r="B12" s="25">
        <f>SUMIF('Cleaned Data'!D2:D11,"Abu Dhabi",'Cleaned Data'!L2:L11)</f>
        <v>2200</v>
      </c>
      <c r="C12" s="25">
        <f>SUMIF('Cleaned Data'!D2:D11,"Abu Dhabi",'Cleaned Data'!M2:M11)</f>
        <v>1300</v>
      </c>
      <c r="D12" s="26">
        <f>C12/B12</f>
        <v>0.590909090909091</v>
      </c>
    </row>
    <row r="15" spans="1:9">
      <c r="A15" s="24" t="s">
        <v>5</v>
      </c>
      <c r="B15" s="24" t="s">
        <v>48</v>
      </c>
      <c r="C15" s="24" t="s">
        <v>44</v>
      </c>
      <c r="D15" s="24" t="s">
        <v>45</v>
      </c>
    </row>
    <row r="16" spans="1:9">
      <c r="A16" s="25" t="s">
        <v>14</v>
      </c>
      <c r="B16" s="25">
        <f>SUMIF('Cleaned Data'!F2:F11,"Electronics",'Cleaned Data'!J2:J11)</f>
        <v>23150</v>
      </c>
      <c r="C16" s="25">
        <f>SUMIF('Cleaned Data'!F2:F11,"Electronics",'Cleaned Data'!M2:M11)</f>
        <v>5475</v>
      </c>
      <c r="D16" s="26">
        <f>C16/B16</f>
        <v>0.236501079913607</v>
      </c>
    </row>
    <row r="17" spans="1:11">
      <c r="A17" s="25" t="s">
        <v>24</v>
      </c>
      <c r="B17" s="25">
        <f>SUMIF('Cleaned Data'!F2:F11,"Furniture",'Cleaned Data'!J2:J11)</f>
        <v>5550</v>
      </c>
      <c r="C17" s="25">
        <f>SUMIF('Cleaned Data'!F2:F11,"Furniture",'Cleaned Data'!M2:M11)</f>
        <v>2300</v>
      </c>
      <c r="D17" s="26">
        <f>C17/B17</f>
        <v>0.414414414414414</v>
      </c>
    </row>
    <row r="23" spans="1:11">
      <c r="A23" s="27" t="s">
        <v>54</v>
      </c>
      <c r="B23" s="27"/>
      <c r="C23" t="s">
        <v>48</v>
      </c>
      <c r="E23" s="27" t="s">
        <v>55</v>
      </c>
      <c r="F23" s="27"/>
      <c r="G23" t="s">
        <v>44</v>
      </c>
    </row>
    <row r="24" spans="1:11">
      <c r="A24" s="28" t="s">
        <v>12</v>
      </c>
      <c r="B24" s="28"/>
      <c r="C24">
        <f>Analysis!B10</f>
        <v>11400</v>
      </c>
      <c r="E24" s="28" t="s">
        <v>12</v>
      </c>
      <c r="F24" s="28"/>
      <c r="G24">
        <f>Analysis!C10</f>
        <v>4000</v>
      </c>
    </row>
    <row r="25" spans="1:11">
      <c r="A25" s="28" t="s">
        <v>18</v>
      </c>
      <c r="B25" s="28"/>
      <c r="C25">
        <f>Analysis!B11</f>
        <v>7325</v>
      </c>
      <c r="E25" s="28" t="s">
        <v>18</v>
      </c>
      <c r="F25" s="28"/>
      <c r="G25">
        <f>Analysis!C11</f>
        <v>2475</v>
      </c>
    </row>
    <row r="26" spans="1:11">
      <c r="A26" s="28" t="s">
        <v>27</v>
      </c>
      <c r="B26" s="28"/>
      <c r="C26">
        <f>Analysis!B12</f>
        <v>2200</v>
      </c>
      <c r="E26" s="28" t="s">
        <v>27</v>
      </c>
      <c r="F26" s="28"/>
      <c r="G26">
        <f>Analysis!C12</f>
        <v>1300</v>
      </c>
    </row>
    <row r="30" spans="1:11">
      <c r="A30" s="27" t="s">
        <v>56</v>
      </c>
      <c r="B30" s="27"/>
      <c r="E30" s="27" t="s">
        <v>57</v>
      </c>
      <c r="F30" s="27"/>
      <c r="I30" s="27" t="s">
        <v>58</v>
      </c>
      <c r="J30" s="27"/>
    </row>
    <row r="31" spans="1:11">
      <c r="A31" t="s">
        <v>13</v>
      </c>
      <c r="B31">
        <f>Analysis!G2</f>
        <v>17500</v>
      </c>
      <c r="E31" t="s">
        <v>13</v>
      </c>
      <c r="F31">
        <f>Analysis!H2</f>
        <v>3500</v>
      </c>
      <c r="I31" s="28" t="s">
        <v>14</v>
      </c>
      <c r="J31" s="28"/>
      <c r="K31">
        <f>Analysis!B16</f>
        <v>23150</v>
      </c>
    </row>
    <row r="32" spans="1:11">
      <c r="A32" t="s">
        <v>19</v>
      </c>
      <c r="B32">
        <f>Analysis!G3</f>
        <v>400</v>
      </c>
      <c r="E32" t="s">
        <v>19</v>
      </c>
      <c r="F32">
        <f>Analysis!H3</f>
        <v>175</v>
      </c>
      <c r="I32" s="28" t="s">
        <v>24</v>
      </c>
      <c r="J32" s="28"/>
      <c r="K32">
        <f>Analysis!B17</f>
        <v>5550</v>
      </c>
    </row>
    <row r="33" spans="1:6">
      <c r="A33" t="s">
        <v>23</v>
      </c>
      <c r="B33">
        <f>Analysis!G4</f>
        <v>3150</v>
      </c>
      <c r="E33" t="s">
        <v>23</v>
      </c>
      <c r="F33">
        <f>Analysis!H4</f>
        <v>1400</v>
      </c>
    </row>
    <row r="34" spans="1:6">
      <c r="A34" t="s">
        <v>28</v>
      </c>
      <c r="B34">
        <f>Analysis!G5</f>
        <v>2550</v>
      </c>
      <c r="E34" t="s">
        <v>28</v>
      </c>
      <c r="F34">
        <f>Analysis!H5</f>
        <v>750</v>
      </c>
    </row>
    <row r="35" spans="1:6">
      <c r="A35" t="s">
        <v>34</v>
      </c>
      <c r="B35">
        <f>Analysis!G6</f>
        <v>2400</v>
      </c>
      <c r="E35" t="s">
        <v>34</v>
      </c>
      <c r="F35">
        <f>Analysis!H6</f>
        <v>900</v>
      </c>
    </row>
    <row r="36" spans="1:6">
      <c r="A36" t="s">
        <v>37</v>
      </c>
      <c r="B36">
        <f>Analysis!G7</f>
        <v>2700</v>
      </c>
      <c r="E36" t="s">
        <v>37</v>
      </c>
      <c r="F36">
        <f>Analysis!H7</f>
        <v>1050</v>
      </c>
    </row>
  </sheetData>
  <mergeCells count="13">
    <mergeCell ref="A23:B23"/>
    <mergeCell ref="E23:F23"/>
    <mergeCell ref="A24:B24"/>
    <mergeCell ref="E24:F24"/>
    <mergeCell ref="A25:B25"/>
    <mergeCell ref="E25:F25"/>
    <mergeCell ref="A26:B26"/>
    <mergeCell ref="E26:F26"/>
    <mergeCell ref="A30:B30"/>
    <mergeCell ref="E30:F30"/>
    <mergeCell ref="I30:J30"/>
    <mergeCell ref="I31:J31"/>
    <mergeCell ref="I32:J32"/>
  </mergeCells>
  <pageMargins left="0.75" right="0.75" top="1" bottom="1" header="0.5" footer="0.5"/>
  <headerFooter/>
  <tableParts count="4">
    <tablePart r:id="rId1"/>
    <tablePart r:id="rId2"/>
    <tablePart r:id="rId3"/>
    <tablePart r:id="rId4"/>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R21"/>
  <sheetViews>
    <sheetView workbookViewId="0">
      <selection activeCell="A7" sqref="A7"/>
    </sheetView>
  </sheetViews>
  <sheetFormatPr defaultColWidth="8.72727272727273" defaultRowHeight="14.5"/>
  <cols>
    <col min="2" max="2" width="17.3636363636364"/>
  </cols>
  <sheetData>
    <row r="1" ht="21.75" spans="2:18">
      <c r="B1" s="6" t="s">
        <v>59</v>
      </c>
      <c r="C1" s="6"/>
      <c r="D1" s="6"/>
      <c r="E1" s="6"/>
      <c r="F1" s="6"/>
      <c r="G1" s="6"/>
      <c r="H1" s="6"/>
      <c r="I1" s="6"/>
      <c r="J1" s="6"/>
      <c r="K1" s="6"/>
      <c r="L1" s="7"/>
      <c r="M1" s="7"/>
      <c r="N1" s="7"/>
      <c r="O1" s="7"/>
      <c r="P1" s="7"/>
      <c r="Q1" s="7"/>
      <c r="R1" s="7"/>
    </row>
    <row r="2" spans="2:18">
      <c r="B2" s="8" t="s">
        <v>49</v>
      </c>
      <c r="C2" s="9"/>
      <c r="D2" s="8" t="s">
        <v>50</v>
      </c>
      <c r="E2" s="9"/>
      <c r="F2" s="8" t="s">
        <v>45</v>
      </c>
      <c r="G2" s="9"/>
      <c r="H2" s="8" t="s">
        <v>60</v>
      </c>
      <c r="I2" s="9"/>
      <c r="J2" s="8" t="s">
        <v>53</v>
      </c>
      <c r="K2" s="9"/>
    </row>
    <row r="3" ht="21.75" spans="2:18">
      <c r="B3" s="10">
        <f>Analysis!B2</f>
        <v>28700</v>
      </c>
      <c r="C3" s="11"/>
      <c r="D3" s="12">
        <f>Analysis!B3</f>
        <v>7775</v>
      </c>
      <c r="E3" s="13"/>
      <c r="F3" s="14">
        <f>Analysis!B4</f>
        <v>0.270905923344948</v>
      </c>
      <c r="G3" s="15"/>
      <c r="H3" s="16">
        <f>Analysis!B5</f>
        <v>10</v>
      </c>
      <c r="I3" s="17"/>
      <c r="J3" s="12">
        <f>Analysis!B6</f>
        <v>2870</v>
      </c>
      <c r="K3" s="13"/>
      <c r="M3" t="s">
        <v>61</v>
      </c>
    </row>
    <row r="4" spans="2:18">
      <c r="M4" s="2" t="s">
        <v>48</v>
      </c>
    </row>
    <row r="6" spans="2:18">
      <c r="M6" s="18" t="s">
        <v>62</v>
      </c>
    </row>
    <row r="7" spans="2:18">
      <c r="M7" s="18" t="s">
        <v>63</v>
      </c>
    </row>
    <row r="8" spans="2:18">
      <c r="M8" s="18" t="s">
        <v>64</v>
      </c>
    </row>
    <row r="10" spans="2:18">
      <c r="M10" s="2" t="s">
        <v>65</v>
      </c>
    </row>
    <row r="12" spans="2:18">
      <c r="M12" s="18" t="s">
        <v>66</v>
      </c>
    </row>
    <row r="13" spans="2:18">
      <c r="M13" s="18" t="s">
        <v>67</v>
      </c>
    </row>
    <row r="14" spans="2:18">
      <c r="M14" s="18" t="s">
        <v>68</v>
      </c>
    </row>
    <row r="15" spans="2:18">
      <c r="M15" s="18" t="s">
        <v>69</v>
      </c>
    </row>
    <row r="16" spans="2:18">
      <c r="M16" s="18"/>
    </row>
    <row r="17" spans="12:13">
      <c r="M17" s="18"/>
    </row>
    <row r="18" spans="12:13">
      <c r="M18" s="18"/>
    </row>
    <row r="19" spans="12:13">
      <c r="M19" s="18"/>
    </row>
    <row r="20" spans="12:13">
      <c r="L20" t="s">
        <v>70</v>
      </c>
      <c r="M20" s="18"/>
    </row>
    <row r="21" spans="12:13">
      <c r="M21" s="18"/>
    </row>
  </sheetData>
  <mergeCells count="11">
    <mergeCell ref="B1:K1"/>
    <mergeCell ref="B2:C2"/>
    <mergeCell ref="D2:E2"/>
    <mergeCell ref="F2:G2"/>
    <mergeCell ref="H2:I2"/>
    <mergeCell ref="J2:K2"/>
    <mergeCell ref="B3:C3"/>
    <mergeCell ref="D3:E3"/>
    <mergeCell ref="F3:G3"/>
    <mergeCell ref="H3:I3"/>
    <mergeCell ref="J3:K3"/>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12"/>
  <sheetViews>
    <sheetView workbookViewId="0">
      <selection activeCell="I19" sqref="I19"/>
    </sheetView>
  </sheetViews>
  <sheetFormatPr defaultColWidth="8.72727272727273" defaultRowHeight="14.5" outlineLevelCol="1"/>
  <sheetData>
    <row r="2" ht="15.5" spans="1:2">
      <c r="A2" s="5" t="s">
        <v>71</v>
      </c>
    </row>
    <row r="4" spans="1:2">
      <c r="B4" s="2" t="s">
        <v>72</v>
      </c>
    </row>
    <row r="6" ht="15.5" spans="1:2">
      <c r="A6" s="5" t="s">
        <v>73</v>
      </c>
    </row>
    <row r="8" spans="1:2">
      <c r="B8" s="2" t="s">
        <v>74</v>
      </c>
    </row>
    <row r="10" ht="15.5" spans="1:2">
      <c r="A10" s="5" t="s">
        <v>75</v>
      </c>
    </row>
    <row r="12" spans="1:2">
      <c r="B12" s="2" t="s">
        <v>76</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M25"/>
  <sheetViews>
    <sheetView tabSelected="1" topLeftCell="A6" workbookViewId="0">
      <selection activeCell="L13" sqref="L13"/>
    </sheetView>
  </sheetViews>
  <sheetFormatPr defaultColWidth="8.72727272727273" defaultRowHeight="14.5"/>
  <sheetData>
    <row r="1" ht="18.5" spans="2:13">
      <c r="B1" s="1" t="s">
        <v>77</v>
      </c>
    </row>
    <row r="3" spans="2:13">
      <c r="B3" s="2" t="s">
        <v>78</v>
      </c>
    </row>
    <row r="4" spans="2:13">
      <c r="B4" s="2" t="s">
        <v>79</v>
      </c>
    </row>
    <row r="5" spans="2:13">
      <c r="B5" s="2" t="s">
        <v>80</v>
      </c>
    </row>
    <row r="6" spans="2:13">
      <c r="B6" s="2" t="s">
        <v>81</v>
      </c>
    </row>
    <row r="7" spans="2:13">
      <c r="B7" s="2" t="s">
        <v>82</v>
      </c>
    </row>
    <row r="8" spans="2:13">
      <c r="B8" s="2" t="s">
        <v>83</v>
      </c>
    </row>
    <row r="9" spans="2:13">
      <c r="B9" s="2" t="s">
        <v>84</v>
      </c>
    </row>
    <row r="13" ht="18.5" spans="2:13">
      <c r="B13" s="1" t="s">
        <v>85</v>
      </c>
    </row>
    <row r="15" spans="2:13">
      <c r="B15" s="3" t="s">
        <v>86</v>
      </c>
      <c r="C15" s="3"/>
      <c r="D15" s="3"/>
      <c r="E15" s="3"/>
      <c r="F15" s="3"/>
      <c r="G15" s="3"/>
      <c r="H15" s="3"/>
      <c r="I15" s="3"/>
      <c r="J15" s="3"/>
      <c r="K15" s="3"/>
      <c r="L15" s="4"/>
      <c r="M15" s="4"/>
    </row>
    <row r="16" spans="2:13">
      <c r="B16" s="3"/>
      <c r="C16" s="3"/>
      <c r="D16" s="3"/>
      <c r="E16" s="3"/>
      <c r="F16" s="3"/>
      <c r="G16" s="3"/>
      <c r="H16" s="3"/>
      <c r="I16" s="3"/>
      <c r="J16" s="3"/>
      <c r="K16" s="3"/>
      <c r="L16" s="4"/>
      <c r="M16" s="4"/>
    </row>
    <row r="17" spans="2:13">
      <c r="B17" s="3"/>
      <c r="C17" s="3"/>
      <c r="D17" s="3"/>
      <c r="E17" s="3"/>
      <c r="F17" s="3"/>
      <c r="G17" s="3"/>
      <c r="H17" s="3"/>
      <c r="I17" s="3"/>
      <c r="J17" s="3"/>
      <c r="K17" s="3"/>
      <c r="L17" s="4"/>
      <c r="M17" s="4"/>
    </row>
    <row r="18" spans="2:13">
      <c r="B18" s="3"/>
      <c r="C18" s="3"/>
      <c r="D18" s="3"/>
      <c r="E18" s="3"/>
      <c r="F18" s="3"/>
      <c r="G18" s="3"/>
      <c r="H18" s="3"/>
      <c r="I18" s="3"/>
      <c r="J18" s="3"/>
      <c r="K18" s="3"/>
      <c r="L18" s="4"/>
      <c r="M18" s="4"/>
    </row>
    <row r="19" spans="2:13">
      <c r="B19" s="3"/>
      <c r="C19" s="3"/>
      <c r="D19" s="3"/>
      <c r="E19" s="3"/>
      <c r="F19" s="3"/>
      <c r="G19" s="3"/>
      <c r="H19" s="3"/>
      <c r="I19" s="3"/>
      <c r="J19" s="3"/>
      <c r="K19" s="3"/>
      <c r="L19" s="4"/>
      <c r="M19" s="4"/>
    </row>
    <row r="20" spans="2:13">
      <c r="B20" s="3"/>
      <c r="C20" s="3"/>
      <c r="D20" s="3"/>
      <c r="E20" s="3"/>
      <c r="F20" s="3"/>
      <c r="G20" s="3"/>
      <c r="H20" s="3"/>
      <c r="I20" s="3"/>
      <c r="J20" s="3"/>
      <c r="K20" s="3"/>
      <c r="L20" s="4"/>
      <c r="M20" s="4"/>
    </row>
    <row r="21" spans="2:13">
      <c r="B21" s="3"/>
      <c r="C21" s="3"/>
      <c r="D21" s="3"/>
      <c r="E21" s="3"/>
      <c r="F21" s="3"/>
      <c r="G21" s="3"/>
      <c r="H21" s="3"/>
      <c r="I21" s="3"/>
      <c r="J21" s="3"/>
      <c r="K21" s="3"/>
      <c r="L21" s="4"/>
      <c r="M21" s="4"/>
    </row>
    <row r="22" spans="2:13">
      <c r="B22" s="4"/>
      <c r="C22" s="4"/>
      <c r="D22" s="4"/>
      <c r="E22" s="4"/>
      <c r="F22" s="4"/>
      <c r="G22" s="4"/>
      <c r="H22" s="4"/>
      <c r="I22" s="4"/>
      <c r="J22" s="4"/>
      <c r="K22" s="4"/>
      <c r="L22" s="4"/>
      <c r="M22" s="4"/>
    </row>
    <row r="23" spans="2:13">
      <c r="B23" s="4"/>
      <c r="C23" s="4"/>
      <c r="D23" s="4"/>
      <c r="E23" s="4"/>
      <c r="F23" s="4"/>
      <c r="G23" s="4"/>
      <c r="H23" s="4"/>
      <c r="I23" s="4"/>
      <c r="J23" s="4"/>
      <c r="K23" s="4"/>
      <c r="L23" s="4"/>
      <c r="M23" s="4"/>
    </row>
    <row r="24" spans="2:13">
      <c r="B24" s="4"/>
      <c r="C24" s="4"/>
      <c r="D24" s="4"/>
      <c r="E24" s="4"/>
      <c r="F24" s="4"/>
      <c r="G24" s="4"/>
      <c r="H24" s="4"/>
      <c r="I24" s="4"/>
      <c r="J24" s="4"/>
      <c r="K24" s="4"/>
      <c r="L24" s="4"/>
      <c r="M24" s="4"/>
    </row>
    <row r="25" spans="2:13">
      <c r="B25" s="4"/>
      <c r="C25" s="4"/>
      <c r="D25" s="4"/>
      <c r="E25" s="4"/>
      <c r="F25" s="4"/>
      <c r="G25" s="4"/>
      <c r="H25" s="4"/>
      <c r="I25" s="4"/>
      <c r="J25" s="4"/>
      <c r="K25" s="4"/>
      <c r="L25" s="4"/>
      <c r="M25" s="4"/>
    </row>
  </sheetData>
  <mergeCells count="1">
    <mergeCell ref="B15:K2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7</vt:i4>
      </vt:variant>
    </vt:vector>
  </HeadingPairs>
  <TitlesOfParts>
    <vt:vector size="7" baseType="lpstr">
      <vt:lpstr>Raw Data</vt:lpstr>
      <vt:lpstr>Cleaned Data</vt:lpstr>
      <vt:lpstr>Product Costs</vt:lpstr>
      <vt:lpstr>Analysis</vt:lpstr>
      <vt:lpstr>Dashboard</vt:lpstr>
      <vt:lpstr>Recommandation</vt:lpstr>
      <vt:lpstr>Project Limitations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khale</dc:creator>
  <cp:lastModifiedBy>Khaled Mohammed</cp:lastModifiedBy>
  <dcterms:created xsi:type="dcterms:W3CDTF">2026-09-12T12:57:00Z</dcterms:created>
  <dcterms:modified xsi:type="dcterms:W3CDTF">2026-09-26T09:46:50Z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CE85A0DF07914D11A3A66347F3760C9A_11</vt:lpwstr>
  </property>
  <property fmtid="{D5CDD505-2E9C-101B-9397-08002B2CF9AE}" pid="3" name="KSOProductBuildVer">
    <vt:lpwstr>1033-12.1.0.28485</vt:lpwstr>
  </property>
  <property fmtid="{D5CDD505-2E9C-101B-9397-08002B2CF9AE}" pid="4" name="CalculationRule">
    <vt:i4>1</vt:i4>
  </property>
</Properties>
</file>